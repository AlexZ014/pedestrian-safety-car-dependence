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Downloads\"/>
    </mc:Choice>
  </mc:AlternateContent>
  <xr:revisionPtr revIDLastSave="0" documentId="13_ncr:1_{009FE106-23D4-4C6B-A0EF-E81AEF856A3E}" xr6:coauthVersionLast="47" xr6:coauthVersionMax="47" xr10:uidLastSave="{00000000-0000-0000-0000-000000000000}"/>
  <bookViews>
    <workbookView xWindow="-120" yWindow="-120" windowWidth="29040" windowHeight="15840" activeTab="2" xr2:uid="{8C025D0B-5EB7-48EB-AE08-03034424DC55}"/>
  </bookViews>
  <sheets>
    <sheet name="cleaned_data" sheetId="1" r:id="rId1"/>
    <sheet name="Master_Data" sheetId="2" r:id="rId2"/>
    <sheet name="Sheet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2" l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D2" i="5"/>
  <c r="D3" i="5"/>
  <c r="D4" i="5"/>
  <c r="L2" i="2" s="1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J13" i="2"/>
  <c r="J14" i="2"/>
  <c r="J15" i="2"/>
  <c r="J16" i="2"/>
  <c r="J17" i="2"/>
  <c r="J29" i="2"/>
  <c r="J30" i="2"/>
  <c r="J31" i="2"/>
  <c r="J32" i="2"/>
  <c r="J33" i="2"/>
  <c r="J44" i="2"/>
  <c r="J46" i="2"/>
  <c r="J47" i="2"/>
  <c r="J48" i="2"/>
  <c r="J49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I52" i="2"/>
  <c r="H52" i="2"/>
  <c r="J52" i="2"/>
  <c r="I51" i="2"/>
  <c r="H51" i="2"/>
  <c r="J51" i="2"/>
  <c r="I50" i="2"/>
  <c r="H50" i="2"/>
  <c r="J50" i="2"/>
  <c r="I49" i="2"/>
  <c r="H49" i="2"/>
  <c r="I48" i="2"/>
  <c r="H48" i="2"/>
  <c r="I47" i="2"/>
  <c r="H47" i="2"/>
  <c r="I46" i="2"/>
  <c r="H46" i="2"/>
  <c r="I45" i="2"/>
  <c r="H45" i="2"/>
  <c r="J45" i="2"/>
  <c r="I44" i="2"/>
  <c r="H44" i="2"/>
  <c r="I43" i="2"/>
  <c r="H43" i="2"/>
  <c r="J43" i="2"/>
  <c r="I42" i="2"/>
  <c r="H42" i="2"/>
  <c r="J42" i="2"/>
  <c r="I41" i="2"/>
  <c r="H41" i="2"/>
  <c r="J41" i="2"/>
  <c r="I40" i="2"/>
  <c r="H40" i="2"/>
  <c r="J40" i="2"/>
  <c r="I39" i="2"/>
  <c r="H39" i="2"/>
  <c r="J39" i="2"/>
  <c r="I38" i="2"/>
  <c r="H38" i="2"/>
  <c r="J38" i="2"/>
  <c r="I37" i="2"/>
  <c r="H37" i="2"/>
  <c r="J37" i="2"/>
  <c r="I36" i="2"/>
  <c r="H36" i="2"/>
  <c r="J36" i="2"/>
  <c r="I35" i="2"/>
  <c r="H35" i="2"/>
  <c r="J35" i="2"/>
  <c r="I34" i="2"/>
  <c r="H34" i="2"/>
  <c r="J34" i="2"/>
  <c r="I33" i="2"/>
  <c r="H33" i="2"/>
  <c r="I32" i="2"/>
  <c r="H32" i="2"/>
  <c r="I31" i="2"/>
  <c r="H31" i="2"/>
  <c r="I30" i="2"/>
  <c r="H30" i="2"/>
  <c r="I29" i="2"/>
  <c r="H29" i="2"/>
  <c r="I28" i="2"/>
  <c r="H28" i="2"/>
  <c r="J28" i="2"/>
  <c r="I27" i="2"/>
  <c r="H27" i="2"/>
  <c r="J27" i="2"/>
  <c r="I26" i="2"/>
  <c r="H26" i="2"/>
  <c r="J26" i="2"/>
  <c r="I25" i="2"/>
  <c r="H25" i="2"/>
  <c r="J25" i="2"/>
  <c r="I24" i="2"/>
  <c r="H24" i="2"/>
  <c r="J24" i="2"/>
  <c r="I23" i="2"/>
  <c r="H23" i="2"/>
  <c r="J23" i="2"/>
  <c r="I22" i="2"/>
  <c r="H22" i="2"/>
  <c r="J22" i="2"/>
  <c r="I21" i="2"/>
  <c r="H21" i="2"/>
  <c r="J21" i="2"/>
  <c r="I20" i="2"/>
  <c r="H20" i="2"/>
  <c r="J20" i="2"/>
  <c r="I19" i="2"/>
  <c r="H19" i="2"/>
  <c r="J19" i="2"/>
  <c r="I18" i="2"/>
  <c r="H18" i="2"/>
  <c r="J18" i="2"/>
  <c r="I17" i="2"/>
  <c r="H17" i="2"/>
  <c r="I16" i="2"/>
  <c r="H16" i="2"/>
  <c r="I15" i="2"/>
  <c r="H15" i="2"/>
  <c r="I14" i="2"/>
  <c r="H14" i="2"/>
  <c r="I13" i="2"/>
  <c r="H13" i="2"/>
  <c r="I12" i="2"/>
  <c r="H12" i="2"/>
  <c r="J12" i="2"/>
  <c r="J11" i="2"/>
  <c r="I11" i="2"/>
  <c r="H11" i="2"/>
  <c r="I10" i="2"/>
  <c r="H10" i="2"/>
  <c r="J10" i="2"/>
  <c r="I9" i="2"/>
  <c r="H9" i="2"/>
  <c r="J9" i="2"/>
  <c r="I8" i="2"/>
  <c r="H8" i="2"/>
  <c r="J8" i="2"/>
  <c r="I7" i="2"/>
  <c r="H7" i="2"/>
  <c r="J7" i="2"/>
  <c r="I6" i="2"/>
  <c r="H6" i="2"/>
  <c r="J6" i="2"/>
  <c r="I5" i="2"/>
  <c r="H5" i="2"/>
  <c r="J5" i="2"/>
  <c r="I4" i="2"/>
  <c r="H4" i="2"/>
  <c r="J4" i="2"/>
  <c r="I3" i="2"/>
  <c r="H3" i="2"/>
  <c r="J3" i="2"/>
  <c r="I2" i="2"/>
  <c r="H2" i="2"/>
  <c r="J2" i="2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E4" i="1"/>
  <c r="E42" i="1"/>
  <c r="E11" i="1"/>
  <c r="E30" i="1"/>
  <c r="E20" i="1"/>
  <c r="E26" i="1"/>
  <c r="E6" i="1"/>
  <c r="E12" i="1"/>
  <c r="E19" i="1"/>
  <c r="E45" i="1"/>
  <c r="E9" i="1"/>
  <c r="E44" i="1"/>
  <c r="E22" i="1"/>
  <c r="E2" i="1"/>
  <c r="E5" i="1"/>
  <c r="E39" i="1"/>
  <c r="E38" i="1"/>
  <c r="E7" i="1"/>
  <c r="E35" i="1"/>
  <c r="E10" i="1"/>
  <c r="E27" i="1"/>
  <c r="E49" i="1"/>
  <c r="E52" i="1"/>
  <c r="E32" i="1"/>
  <c r="E28" i="1"/>
  <c r="E24" i="1"/>
  <c r="E3" i="1"/>
  <c r="E43" i="1"/>
  <c r="E15" i="1"/>
  <c r="E14" i="1"/>
  <c r="E13" i="1"/>
  <c r="E48" i="1"/>
  <c r="E34" i="1"/>
  <c r="E40" i="1"/>
  <c r="E16" i="1"/>
  <c r="E21" i="1"/>
  <c r="E8" i="1"/>
  <c r="E18" i="1"/>
  <c r="E36" i="1"/>
  <c r="E37" i="1"/>
  <c r="E46" i="1"/>
  <c r="E31" i="1"/>
  <c r="E41" i="1"/>
  <c r="E51" i="1"/>
  <c r="E23" i="1"/>
  <c r="E17" i="1"/>
  <c r="E50" i="1"/>
  <c r="E47" i="1"/>
  <c r="E25" i="1"/>
  <c r="E29" i="1"/>
  <c r="E33" i="1"/>
  <c r="L4" i="2" l="1"/>
  <c r="Q2" i="2"/>
  <c r="M39" i="2"/>
  <c r="M23" i="2"/>
  <c r="O29" i="2"/>
  <c r="K49" i="2"/>
  <c r="K33" i="2"/>
  <c r="K47" i="2"/>
  <c r="L50" i="2"/>
  <c r="M21" i="2"/>
  <c r="Q33" i="2"/>
  <c r="Q17" i="2"/>
  <c r="K46" i="2"/>
  <c r="K30" i="2"/>
  <c r="K14" i="2"/>
  <c r="L49" i="2"/>
  <c r="L33" i="2"/>
  <c r="L17" i="2"/>
  <c r="M52" i="2"/>
  <c r="M36" i="2"/>
  <c r="M20" i="2"/>
  <c r="M4" i="2"/>
  <c r="N39" i="2"/>
  <c r="N23" i="2"/>
  <c r="N7" i="2"/>
  <c r="O42" i="2"/>
  <c r="O26" i="2"/>
  <c r="O10" i="2"/>
  <c r="P45" i="2"/>
  <c r="P29" i="2"/>
  <c r="P13" i="2"/>
  <c r="Q48" i="2"/>
  <c r="Q32" i="2"/>
  <c r="Q16" i="2"/>
  <c r="K31" i="2"/>
  <c r="L18" i="2"/>
  <c r="M5" i="2"/>
  <c r="O27" i="2"/>
  <c r="P30" i="2"/>
  <c r="K29" i="2"/>
  <c r="K13" i="2"/>
  <c r="L48" i="2"/>
  <c r="L32" i="2"/>
  <c r="L16" i="2"/>
  <c r="M51" i="2"/>
  <c r="M35" i="2"/>
  <c r="M19" i="2"/>
  <c r="M3" i="2"/>
  <c r="N38" i="2"/>
  <c r="N22" i="2"/>
  <c r="N6" i="2"/>
  <c r="O41" i="2"/>
  <c r="O25" i="2"/>
  <c r="O9" i="2"/>
  <c r="P44" i="2"/>
  <c r="P28" i="2"/>
  <c r="P12" i="2"/>
  <c r="Q47" i="2"/>
  <c r="Q31" i="2"/>
  <c r="Q15" i="2"/>
  <c r="N24" i="2"/>
  <c r="O11" i="2"/>
  <c r="P14" i="2"/>
  <c r="K45" i="2"/>
  <c r="K44" i="2"/>
  <c r="K28" i="2"/>
  <c r="K12" i="2"/>
  <c r="L47" i="2"/>
  <c r="L31" i="2"/>
  <c r="L15" i="2"/>
  <c r="M50" i="2"/>
  <c r="M34" i="2"/>
  <c r="M18" i="2"/>
  <c r="M2" i="2"/>
  <c r="N37" i="2"/>
  <c r="N21" i="2"/>
  <c r="N5" i="2"/>
  <c r="O40" i="2"/>
  <c r="O24" i="2"/>
  <c r="O8" i="2"/>
  <c r="P43" i="2"/>
  <c r="P27" i="2"/>
  <c r="P11" i="2"/>
  <c r="Q46" i="2"/>
  <c r="Q30" i="2"/>
  <c r="Q14" i="2"/>
  <c r="K15" i="2"/>
  <c r="L34" i="2"/>
  <c r="M37" i="2"/>
  <c r="N40" i="2"/>
  <c r="N8" i="2"/>
  <c r="O43" i="2"/>
  <c r="P46" i="2"/>
  <c r="Q49" i="2"/>
  <c r="K43" i="2"/>
  <c r="K27" i="2"/>
  <c r="K11" i="2"/>
  <c r="L46" i="2"/>
  <c r="L30" i="2"/>
  <c r="L14" i="2"/>
  <c r="M49" i="2"/>
  <c r="M33" i="2"/>
  <c r="M17" i="2"/>
  <c r="N52" i="2"/>
  <c r="N36" i="2"/>
  <c r="N20" i="2"/>
  <c r="N4" i="2"/>
  <c r="O39" i="2"/>
  <c r="O23" i="2"/>
  <c r="O7" i="2"/>
  <c r="P42" i="2"/>
  <c r="P26" i="2"/>
  <c r="P10" i="2"/>
  <c r="Q45" i="2"/>
  <c r="Q29" i="2"/>
  <c r="Q13" i="2"/>
  <c r="K42" i="2"/>
  <c r="L45" i="2"/>
  <c r="M48" i="2"/>
  <c r="M16" i="2"/>
  <c r="N35" i="2"/>
  <c r="O38" i="2"/>
  <c r="O22" i="2"/>
  <c r="O6" i="2"/>
  <c r="Q44" i="2"/>
  <c r="Q28" i="2"/>
  <c r="Q12" i="2"/>
  <c r="L13" i="2"/>
  <c r="M32" i="2"/>
  <c r="N19" i="2"/>
  <c r="P41" i="2"/>
  <c r="P25" i="2"/>
  <c r="P9" i="2"/>
  <c r="K41" i="2"/>
  <c r="K25" i="2"/>
  <c r="K9" i="2"/>
  <c r="L44" i="2"/>
  <c r="L28" i="2"/>
  <c r="L12" i="2"/>
  <c r="M47" i="2"/>
  <c r="M31" i="2"/>
  <c r="M15" i="2"/>
  <c r="N50" i="2"/>
  <c r="N34" i="2"/>
  <c r="N18" i="2"/>
  <c r="N2" i="2"/>
  <c r="O37" i="2"/>
  <c r="O21" i="2"/>
  <c r="O5" i="2"/>
  <c r="P40" i="2"/>
  <c r="P24" i="2"/>
  <c r="P8" i="2"/>
  <c r="Q43" i="2"/>
  <c r="Q27" i="2"/>
  <c r="Q11" i="2"/>
  <c r="N51" i="2"/>
  <c r="K40" i="2"/>
  <c r="K8" i="2"/>
  <c r="L43" i="2"/>
  <c r="L27" i="2"/>
  <c r="L11" i="2"/>
  <c r="M46" i="2"/>
  <c r="M30" i="2"/>
  <c r="M14" i="2"/>
  <c r="N49" i="2"/>
  <c r="N33" i="2"/>
  <c r="N17" i="2"/>
  <c r="O52" i="2"/>
  <c r="O36" i="2"/>
  <c r="O20" i="2"/>
  <c r="O4" i="2"/>
  <c r="P39" i="2"/>
  <c r="P23" i="2"/>
  <c r="P7" i="2"/>
  <c r="Q42" i="2"/>
  <c r="Q26" i="2"/>
  <c r="Q10" i="2"/>
  <c r="K26" i="2"/>
  <c r="K10" i="2"/>
  <c r="L29" i="2"/>
  <c r="N3" i="2"/>
  <c r="K24" i="2"/>
  <c r="K39" i="2"/>
  <c r="K23" i="2"/>
  <c r="K7" i="2"/>
  <c r="L42" i="2"/>
  <c r="L26" i="2"/>
  <c r="L10" i="2"/>
  <c r="M45" i="2"/>
  <c r="M29" i="2"/>
  <c r="M13" i="2"/>
  <c r="N48" i="2"/>
  <c r="N32" i="2"/>
  <c r="N16" i="2"/>
  <c r="O51" i="2"/>
  <c r="O35" i="2"/>
  <c r="O19" i="2"/>
  <c r="O3" i="2"/>
  <c r="P38" i="2"/>
  <c r="P22" i="2"/>
  <c r="P6" i="2"/>
  <c r="Q41" i="2"/>
  <c r="Q25" i="2"/>
  <c r="Q9" i="2"/>
  <c r="K38" i="2"/>
  <c r="K22" i="2"/>
  <c r="K6" i="2"/>
  <c r="L41" i="2"/>
  <c r="L25" i="2"/>
  <c r="L9" i="2"/>
  <c r="M44" i="2"/>
  <c r="M28" i="2"/>
  <c r="M12" i="2"/>
  <c r="N47" i="2"/>
  <c r="N31" i="2"/>
  <c r="N15" i="2"/>
  <c r="O50" i="2"/>
  <c r="O34" i="2"/>
  <c r="O18" i="2"/>
  <c r="O2" i="2"/>
  <c r="P37" i="2"/>
  <c r="P21" i="2"/>
  <c r="P5" i="2"/>
  <c r="Q40" i="2"/>
  <c r="Q24" i="2"/>
  <c r="Q8" i="2"/>
  <c r="K37" i="2"/>
  <c r="K21" i="2"/>
  <c r="K5" i="2"/>
  <c r="L40" i="2"/>
  <c r="L24" i="2"/>
  <c r="L8" i="2"/>
  <c r="M43" i="2"/>
  <c r="M27" i="2"/>
  <c r="M11" i="2"/>
  <c r="N46" i="2"/>
  <c r="N30" i="2"/>
  <c r="N14" i="2"/>
  <c r="O49" i="2"/>
  <c r="O33" i="2"/>
  <c r="O17" i="2"/>
  <c r="P52" i="2"/>
  <c r="P36" i="2"/>
  <c r="P20" i="2"/>
  <c r="P4" i="2"/>
  <c r="Q39" i="2"/>
  <c r="Q23" i="2"/>
  <c r="Q7" i="2"/>
  <c r="K52" i="2"/>
  <c r="K36" i="2"/>
  <c r="K20" i="2"/>
  <c r="K4" i="2"/>
  <c r="L39" i="2"/>
  <c r="L23" i="2"/>
  <c r="L7" i="2"/>
  <c r="M42" i="2"/>
  <c r="M26" i="2"/>
  <c r="M10" i="2"/>
  <c r="N45" i="2"/>
  <c r="N29" i="2"/>
  <c r="N13" i="2"/>
  <c r="O48" i="2"/>
  <c r="O32" i="2"/>
  <c r="O16" i="2"/>
  <c r="P51" i="2"/>
  <c r="P35" i="2"/>
  <c r="P19" i="2"/>
  <c r="P3" i="2"/>
  <c r="Q38" i="2"/>
  <c r="Q22" i="2"/>
  <c r="Q6" i="2"/>
  <c r="K35" i="2"/>
  <c r="K3" i="2"/>
  <c r="L22" i="2"/>
  <c r="M41" i="2"/>
  <c r="M9" i="2"/>
  <c r="N44" i="2"/>
  <c r="N28" i="2"/>
  <c r="N12" i="2"/>
  <c r="O47" i="2"/>
  <c r="O31" i="2"/>
  <c r="O15" i="2"/>
  <c r="P50" i="2"/>
  <c r="P34" i="2"/>
  <c r="P18" i="2"/>
  <c r="P2" i="2"/>
  <c r="Q37" i="2"/>
  <c r="Q21" i="2"/>
  <c r="Q5" i="2"/>
  <c r="K51" i="2"/>
  <c r="K19" i="2"/>
  <c r="L38" i="2"/>
  <c r="L6" i="2"/>
  <c r="M25" i="2"/>
  <c r="K50" i="2"/>
  <c r="K34" i="2"/>
  <c r="K18" i="2"/>
  <c r="K2" i="2"/>
  <c r="L37" i="2"/>
  <c r="L21" i="2"/>
  <c r="L5" i="2"/>
  <c r="M40" i="2"/>
  <c r="M24" i="2"/>
  <c r="M8" i="2"/>
  <c r="N43" i="2"/>
  <c r="N27" i="2"/>
  <c r="N11" i="2"/>
  <c r="O46" i="2"/>
  <c r="O30" i="2"/>
  <c r="O14" i="2"/>
  <c r="P49" i="2"/>
  <c r="P33" i="2"/>
  <c r="P17" i="2"/>
  <c r="Q52" i="2"/>
  <c r="Q36" i="2"/>
  <c r="Q20" i="2"/>
  <c r="Q4" i="2"/>
  <c r="K17" i="2"/>
  <c r="L36" i="2"/>
  <c r="L20" i="2"/>
  <c r="O45" i="2"/>
  <c r="O13" i="2"/>
  <c r="P32" i="2"/>
  <c r="Q51" i="2"/>
  <c r="Q35" i="2"/>
  <c r="Q19" i="2"/>
  <c r="Q3" i="2"/>
  <c r="L52" i="2"/>
  <c r="M7" i="2"/>
  <c r="N42" i="2"/>
  <c r="N26" i="2"/>
  <c r="N10" i="2"/>
  <c r="P48" i="2"/>
  <c r="P16" i="2"/>
  <c r="K48" i="2"/>
  <c r="K32" i="2"/>
  <c r="K16" i="2"/>
  <c r="L51" i="2"/>
  <c r="L35" i="2"/>
  <c r="L19" i="2"/>
  <c r="L3" i="2"/>
  <c r="M38" i="2"/>
  <c r="M22" i="2"/>
  <c r="M6" i="2"/>
  <c r="N41" i="2"/>
  <c r="N25" i="2"/>
  <c r="N9" i="2"/>
  <c r="O44" i="2"/>
  <c r="O28" i="2"/>
  <c r="O12" i="2"/>
  <c r="P47" i="2"/>
  <c r="P31" i="2"/>
  <c r="P15" i="2"/>
  <c r="Q50" i="2"/>
  <c r="Q34" i="2"/>
  <c r="Q18" i="2"/>
</calcChain>
</file>

<file path=xl/sharedStrings.xml><?xml version="1.0" encoding="utf-8"?>
<sst xmlns="http://schemas.openxmlformats.org/spreadsheetml/2006/main" count="1003" uniqueCount="89">
  <si>
    <t>State</t>
  </si>
  <si>
    <t>New Mexico</t>
  </si>
  <si>
    <t>Arizona</t>
  </si>
  <si>
    <t>South Carolina</t>
  </si>
  <si>
    <t>Florida</t>
  </si>
  <si>
    <t>Nevada</t>
  </si>
  <si>
    <t>Louisiana</t>
  </si>
  <si>
    <t>Mississippi</t>
  </si>
  <si>
    <t>California</t>
  </si>
  <si>
    <t>Georgia</t>
  </si>
  <si>
    <t>Kentucky</t>
  </si>
  <si>
    <t>Texas</t>
  </si>
  <si>
    <t>Delaware</t>
  </si>
  <si>
    <t>Tennessee</t>
  </si>
  <si>
    <t>Maryland</t>
  </si>
  <si>
    <t>Alabama</t>
  </si>
  <si>
    <t>Arkansas</t>
  </si>
  <si>
    <t>Oregon</t>
  </si>
  <si>
    <t>Oklahoma</t>
  </si>
  <si>
    <t>Colorado</t>
  </si>
  <si>
    <t>North Carolina</t>
  </si>
  <si>
    <t>District of Columbia</t>
  </si>
  <si>
    <t>Missouri</t>
  </si>
  <si>
    <t>Washington</t>
  </si>
  <si>
    <t>Wyoming</t>
  </si>
  <si>
    <t>New Jersey</t>
  </si>
  <si>
    <t>Montana</t>
  </si>
  <si>
    <t>Michigan</t>
  </si>
  <si>
    <t>Alaska</t>
  </si>
  <si>
    <t>South Dakota</t>
  </si>
  <si>
    <t>Illinois</t>
  </si>
  <si>
    <t>Idaho</t>
  </si>
  <si>
    <t>Hawaii</t>
  </si>
  <si>
    <t>Virginia</t>
  </si>
  <si>
    <t>New York</t>
  </si>
  <si>
    <t>Pennsylvania</t>
  </si>
  <si>
    <t>Indiana</t>
  </si>
  <si>
    <t>Maine</t>
  </si>
  <si>
    <t>Connecticut</t>
  </si>
  <si>
    <t>Kansas</t>
  </si>
  <si>
    <t>North Dakota</t>
  </si>
  <si>
    <t>Ohio</t>
  </si>
  <si>
    <t>Utah</t>
  </si>
  <si>
    <t>New Hampshire</t>
  </si>
  <si>
    <t>Rhode Island</t>
  </si>
  <si>
    <t>Wisconsin</t>
  </si>
  <si>
    <t>Massachusetts</t>
  </si>
  <si>
    <t>Iowa</t>
  </si>
  <si>
    <t>West Virginia</t>
  </si>
  <si>
    <t>Vermont</t>
  </si>
  <si>
    <t>Minnesota</t>
  </si>
  <si>
    <t>Nebraska</t>
  </si>
  <si>
    <t>Population_Thousands</t>
  </si>
  <si>
    <t>Population_Actual_2023</t>
  </si>
  <si>
    <t>YoY_Change_%</t>
  </si>
  <si>
    <t>FARS_vs_GHSA_Diff</t>
  </si>
  <si>
    <t>GHSA_Deaths_2022</t>
  </si>
  <si>
    <t>GHSA_Deaths_2023</t>
  </si>
  <si>
    <t>FARS_vs_GHSA_%Diff</t>
  </si>
  <si>
    <t>GHSA_Rate_per_100k_2023</t>
  </si>
  <si>
    <t>Pedestrians_Killed (FARS)</t>
  </si>
  <si>
    <t>Deaths_Rate_per_100k (FARS)</t>
  </si>
  <si>
    <t>FARS_Deaths_2023</t>
  </si>
  <si>
    <t>Pop_2023</t>
  </si>
  <si>
    <t>FARS_Rate_per_100k_2023</t>
  </si>
  <si>
    <t>GHSA_YoY_Change_%</t>
  </si>
  <si>
    <t>Mode</t>
  </si>
  <si>
    <t>Bicycle</t>
  </si>
  <si>
    <t>Walked</t>
  </si>
  <si>
    <t>Taxi, motorcycle, or other</t>
  </si>
  <si>
    <t>Public transportation</t>
  </si>
  <si>
    <t>Worked at home</t>
  </si>
  <si>
    <t>Carpool</t>
  </si>
  <si>
    <t>Drove alone</t>
  </si>
  <si>
    <t>Commute mode share  %</t>
  </si>
  <si>
    <t>Drive_%</t>
  </si>
  <si>
    <t>Transit_%</t>
  </si>
  <si>
    <t>Walk_%</t>
  </si>
  <si>
    <t>Bike_%</t>
  </si>
  <si>
    <t>Carpool_%</t>
  </si>
  <si>
    <t>Other_%</t>
  </si>
  <si>
    <t>WorkHome_%</t>
  </si>
  <si>
    <t>Key</t>
  </si>
  <si>
    <t>South</t>
  </si>
  <si>
    <t>West</t>
  </si>
  <si>
    <t>Northeast</t>
  </si>
  <si>
    <t>Midwest</t>
  </si>
  <si>
    <t>Region</t>
  </si>
  <si>
    <t>Car_Dependence_Ratio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</si>
</sst>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/>
    <xf numFmtId="2" fontId="0" fillId="0" borderId="0" xfId="0" applyNumberFormat="1"/>
    <xf numFmtId="175" fontId="0" fillId="0" borderId="0" xfId="1" applyNumberFormat="1" applyFont="1"/>
    <xf numFmtId="175" fontId="0" fillId="0" borderId="0" xfId="1" applyNumberFormat="1" applyFont="1" applyAlignment="1">
      <alignment vertical="center" wrapText="1"/>
    </xf>
    <xf numFmtId="10" fontId="0" fillId="0" borderId="0" xfId="1" applyNumberFormat="1" applyFont="1"/>
    <xf numFmtId="0" fontId="0" fillId="0" borderId="0" xfId="0" applyAlignment="1">
      <alignment horizontal="left" vertical="center" indent="1"/>
    </xf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17"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0" formatCode="General"/>
    </dxf>
    <dxf>
      <numFmt numFmtId="175" formatCode="0.0%"/>
    </dxf>
    <dxf>
      <numFmt numFmtId="0" formatCode="General"/>
    </dxf>
    <dxf>
      <numFmt numFmtId="175" formatCode="0.0%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167C5B-BC4D-4E97-B431-6CD9F35C7360}" name="Table1" displayName="Table1" ref="A1:K52" totalsRowShown="0">
  <autoFilter ref="A1:K52" xr:uid="{F7167C5B-BC4D-4E97-B431-6CD9F35C7360}"/>
  <sortState xmlns:xlrd2="http://schemas.microsoft.com/office/spreadsheetml/2017/richdata2" ref="A2:H52">
    <sortCondition ref="A1:A52"/>
  </sortState>
  <tableColumns count="11">
    <tableColumn id="1" xr3:uid="{5F862306-008B-4472-883E-B282BC2AB356}" name="State"/>
    <tableColumn id="2" xr3:uid="{2E8F82EB-CDA6-487D-B58F-AB74E226D351}" name="Pedestrians_Killed (FARS)"/>
    <tableColumn id="3" xr3:uid="{8DB5A773-B471-4D6B-B93A-5D03C6F6D2F2}" name="Population_Thousands"/>
    <tableColumn id="4" xr3:uid="{BCDA4176-F188-47F2-9B0F-F51ED3E34C25}" name="Deaths_Rate_per_100k (FARS)"/>
    <tableColumn id="5" xr3:uid="{6E58356A-ED18-4FEF-BE00-F27683389345}" name="Population_Actual_2023">
      <calculatedColumnFormula>C2 * 1000</calculatedColumnFormula>
    </tableColumn>
    <tableColumn id="7" xr3:uid="{971D5038-3213-4646-97B7-F66D921A6874}" name="GHSA_Deaths_2022"/>
    <tableColumn id="8" xr3:uid="{0EC77CB7-599B-4994-90F5-D11357FB41DC}" name="GHSA_Deaths_2023"/>
    <tableColumn id="9" xr3:uid="{BD3E2B41-5875-45DA-B6ED-380CECA95CDB}" name="YoY_Change_%"/>
    <tableColumn id="14" xr3:uid="{92159112-60E7-498B-98FD-CE9BAA394CA1}" name="FARS_vs_GHSA_Diff" dataDxfId="16">
      <calculatedColumnFormula>Table1[[#This Row],[GHSA_Deaths_2023]]-Table1[[#This Row],[Pedestrians_Killed (FARS)]]</calculatedColumnFormula>
    </tableColumn>
    <tableColumn id="15" xr3:uid="{EEB9CA9F-5D71-4332-AF3B-FBA8C03D438C}" name="FARS_vs_GHSA_%Diff" dataDxfId="15">
      <calculatedColumnFormula>(Table1[[#This Row],[GHSA_Deaths_2023]]-Table1[[#This Row],[Pedestrians_Killed (FARS)]])/Table1[[#This Row],[Pedestrians_Killed (FARS)]]</calculatedColumnFormula>
    </tableColumn>
    <tableColumn id="16" xr3:uid="{BB55BE8C-0B10-4D8F-A4B9-BC7CE6A48D98}" name="GHSA_Rate_per_100k_2023" dataDxfId="14">
      <calculatedColumnFormula>Table1[[#This Row],[GHSA_Deaths_2023]]/Table1[[#This Row],[Population_Actual_2023]]*100000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75C450-2C5A-417F-B6CF-CD213F1F2F61}" name="Table13" displayName="Table13" ref="A1:S52" totalsRowShown="0">
  <autoFilter ref="A1:S52" xr:uid="{F7167C5B-BC4D-4E97-B431-6CD9F35C7360}"/>
  <sortState xmlns:xlrd2="http://schemas.microsoft.com/office/spreadsheetml/2017/richdata2" ref="A2:G52">
    <sortCondition ref="A1:A52"/>
  </sortState>
  <tableColumns count="19">
    <tableColumn id="1" xr3:uid="{800205E1-EF62-4EA1-A102-30F2D8C8F7B9}" name="State"/>
    <tableColumn id="2" xr3:uid="{1BDED38D-0629-4049-9B14-B8FC44F48ECB}" name="FARS_Deaths_2023"/>
    <tableColumn id="4" xr3:uid="{3520B27C-1C86-4131-83ED-022F9F6209C8}" name="FARS_Rate_per_100k_2023"/>
    <tableColumn id="5" xr3:uid="{5BCCC912-165A-4E5C-9716-032AF347D519}" name="Pop_2023"/>
    <tableColumn id="7" xr3:uid="{03E6A118-01F1-48E0-BDAF-C2C7C5A60AD0}" name="GHSA_Deaths_2022"/>
    <tableColumn id="8" xr3:uid="{064916F6-9D11-4126-8723-DE21069873B5}" name="GHSA_Deaths_2023"/>
    <tableColumn id="9" xr3:uid="{2F1B3FCF-75BF-4796-87BB-072D5AE7A3AE}" name="GHSA_YoY_Change_%" dataDxfId="13" dataCellStyle="Percent">
      <calculatedColumnFormula>(Table13[[#This Row],[GHSA_Deaths_2023]]-Table13[[#This Row],[GHSA_Deaths_2022]])/Table13[[#This Row],[GHSA_Deaths_2022]]</calculatedColumnFormula>
    </tableColumn>
    <tableColumn id="14" xr3:uid="{41BF2495-44A9-48AF-B8AA-4FE80CC479E2}" name="FARS_vs_GHSA_Diff" dataDxfId="12">
      <calculatedColumnFormula>Table13[[#This Row],[GHSA_Deaths_2023]]-Table13[[#This Row],[FARS_Deaths_2023]]</calculatedColumnFormula>
    </tableColumn>
    <tableColumn id="15" xr3:uid="{9F6C0156-2E36-47C5-AF42-B9E924F260CE}" name="FARS_vs_GHSA_%Diff" dataDxfId="11" dataCellStyle="Percent">
      <calculatedColumnFormula>(Table13[[#This Row],[GHSA_Deaths_2023]]-Table13[[#This Row],[FARS_Deaths_2023]])/Table13[[#This Row],[FARS_Deaths_2023]]</calculatedColumnFormula>
    </tableColumn>
    <tableColumn id="16" xr3:uid="{3C685B60-CD80-4307-8ABB-4C3D1D1C0E28}" name="GHSA_Rate_per_100k_2023" dataDxfId="9">
      <calculatedColumnFormula>Table13[[#This Row],[GHSA_Deaths_2023]]/Table13[[#This Row],[Pop_2023]]*100000</calculatedColumnFormula>
    </tableColumn>
    <tableColumn id="17" xr3:uid="{82DA4C12-BA4F-45D9-8D65-BF6E28237304}" name="Drive_%" dataDxfId="8" dataCellStyle="Percent">
      <calculatedColumnFormula>_xlfn.XLOOKUP($A2 &amp; "|Drove alone", Sheet3!$D:$D, Sheet3!$C:$C, "")</calculatedColumnFormula>
    </tableColumn>
    <tableColumn id="18" xr3:uid="{E3F18DB2-2E16-4AB9-A5EC-DC22E8F60D1E}" name="Transit_%" dataDxfId="7" dataCellStyle="Percent">
      <calculatedColumnFormula>_xlfn.XLOOKUP($A2 &amp; "|Public transportation", Sheet3!$D:$D, Sheet3!$C:$C, "")</calculatedColumnFormula>
    </tableColumn>
    <tableColumn id="19" xr3:uid="{8940E41E-2544-43D6-B222-EE569BF7EC93}" name="Walk_%" dataDxfId="6" dataCellStyle="Percent">
      <calculatedColumnFormula>_xlfn.XLOOKUP($A2 &amp; "|Walked", Sheet3!$D:$D, Sheet3!$C:$C, "")</calculatedColumnFormula>
    </tableColumn>
    <tableColumn id="20" xr3:uid="{15E784D8-CD6F-40DC-84AC-708F9696DD6F}" name="Bike_%" dataDxfId="5" dataCellStyle="Percent">
      <calculatedColumnFormula>_xlfn.XLOOKUP($A2 &amp; "|Bicycle", Sheet3!$D:$D, Sheet3!$C:$C, "")</calculatedColumnFormula>
    </tableColumn>
    <tableColumn id="21" xr3:uid="{712003AA-96D7-418B-9FF1-712F4F695A91}" name="Carpool_%" dataDxfId="4" dataCellStyle="Percent">
      <calculatedColumnFormula>_xlfn.XLOOKUP($A2 &amp; "|Carpool", Sheet3!$D:$D, Sheet3!$C:$C, "")</calculatedColumnFormula>
    </tableColumn>
    <tableColumn id="22" xr3:uid="{8E80E161-8047-4B9F-82DA-965A5490F0C4}" name="Other_%" dataDxfId="3" dataCellStyle="Percent">
      <calculatedColumnFormula>_xlfn.XLOOKUP($A2 &amp; "|Taxi, motorcycle, or other", Sheet3!$D:$D, Sheet3!$C:$C, "")</calculatedColumnFormula>
    </tableColumn>
    <tableColumn id="23" xr3:uid="{10151226-0B69-43F3-9521-5417EF7BF5F2}" name="WorkHome_%" dataDxfId="2" dataCellStyle="Percent">
      <calculatedColumnFormula>_xlfn.XLOOKUP($A2 &amp; "|Worked at home", Sheet3!$D:$D, Sheet3!$C:$C, "")</calculatedColumnFormula>
    </tableColumn>
    <tableColumn id="24" xr3:uid="{390FF9A2-77C6-4DE1-AD94-EC7EDC95FC86}" name="Region" dataDxfId="1" dataCellStyle="Percent"/>
    <tableColumn id="25" xr3:uid="{84B7F3CF-A615-4A34-B147-34EC8C1C3544}" name="Car_Dependence_Ratio" dataDxfId="0" dataCellStyle="Percent">
      <calculatedColumnFormula>Table13[[#This Row],[Drive_%]]/Table13[[#This Row],[Walk_%]]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A733A7-B032-468C-A9F5-5D50C54DE44A}" name="Table3" displayName="Table3" ref="A1:D358" totalsRowShown="0">
  <autoFilter ref="A1:D358" xr:uid="{8C79731D-CEAE-4438-A10F-18E041497CEF}"/>
  <sortState xmlns:xlrd2="http://schemas.microsoft.com/office/spreadsheetml/2017/richdata2" ref="A2:C358">
    <sortCondition ref="A1:A358"/>
  </sortState>
  <tableColumns count="4">
    <tableColumn id="1" xr3:uid="{11FD0BEE-6E8B-4662-97E1-5FB527D80B89}" name="State"/>
    <tableColumn id="2" xr3:uid="{39B20BF2-399E-431F-939B-83710AB502F9}" name="Mode"/>
    <tableColumn id="4" xr3:uid="{E38216E4-5904-4ED4-BDB0-6E50448804E5}" name="Commute mode share  %"/>
    <tableColumn id="3" xr3:uid="{8DF5C259-1E11-4BE2-BD88-5F8402B4DFF4}" name="Key" dataDxfId="10">
      <calculatedColumnFormula>A2 &amp; "|" &amp; B2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0669-30B4-41AA-8F85-EA9EB86ACA65}">
  <dimension ref="A1:K52"/>
  <sheetViews>
    <sheetView workbookViewId="0">
      <selection activeCell="I5" sqref="I5"/>
    </sheetView>
  </sheetViews>
  <sheetFormatPr defaultRowHeight="15" x14ac:dyDescent="0.25"/>
  <cols>
    <col min="1" max="1" width="18.7109375" bestFit="1" customWidth="1"/>
    <col min="2" max="2" width="26.85546875" bestFit="1" customWidth="1"/>
    <col min="3" max="3" width="23.42578125" customWidth="1"/>
    <col min="4" max="4" width="30.42578125" bestFit="1" customWidth="1"/>
    <col min="5" max="5" width="24.140625" customWidth="1"/>
    <col min="6" max="7" width="20.85546875" bestFit="1" customWidth="1"/>
    <col min="8" max="8" width="17" bestFit="1" customWidth="1"/>
    <col min="9" max="9" width="21.28515625" bestFit="1" customWidth="1"/>
    <col min="10" max="10" width="22.85546875" style="3" bestFit="1" customWidth="1"/>
    <col min="11" max="11" width="27.42578125" bestFit="1" customWidth="1"/>
  </cols>
  <sheetData>
    <row r="1" spans="1:11" x14ac:dyDescent="0.25">
      <c r="A1" t="s">
        <v>0</v>
      </c>
      <c r="B1" t="s">
        <v>60</v>
      </c>
      <c r="C1" t="s">
        <v>52</v>
      </c>
      <c r="D1" t="s">
        <v>61</v>
      </c>
      <c r="E1" t="s">
        <v>53</v>
      </c>
      <c r="F1" t="s">
        <v>56</v>
      </c>
      <c r="G1" t="s">
        <v>57</v>
      </c>
      <c r="H1" t="s">
        <v>54</v>
      </c>
      <c r="I1" s="2" t="s">
        <v>55</v>
      </c>
      <c r="J1" t="s">
        <v>58</v>
      </c>
      <c r="K1" t="s">
        <v>59</v>
      </c>
    </row>
    <row r="2" spans="1:11" x14ac:dyDescent="0.25">
      <c r="A2" t="s">
        <v>15</v>
      </c>
      <c r="B2">
        <v>124</v>
      </c>
      <c r="C2">
        <v>5108</v>
      </c>
      <c r="D2">
        <v>2.4300000000000002</v>
      </c>
      <c r="E2">
        <f>C2 * 1000</f>
        <v>5108000</v>
      </c>
      <c r="F2" s="1">
        <v>111</v>
      </c>
      <c r="G2" s="1">
        <v>118</v>
      </c>
      <c r="H2" s="1">
        <v>6.3</v>
      </c>
      <c r="I2">
        <f>Table1[[#This Row],[GHSA_Deaths_2023]]-Table1[[#This Row],[Pedestrians_Killed (FARS)]]</f>
        <v>-6</v>
      </c>
      <c r="J2" s="3">
        <f>(Table1[[#This Row],[GHSA_Deaths_2023]]-Table1[[#This Row],[Pedestrians_Killed (FARS)]])/Table1[[#This Row],[Pedestrians_Killed (FARS)]]</f>
        <v>-4.8387096774193547E-2</v>
      </c>
      <c r="K2" s="3">
        <f>Table1[[#This Row],[GHSA_Deaths_2023]]/Table1[[#This Row],[Population_Actual_2023]]*100000</f>
        <v>2.3101018010963195</v>
      </c>
    </row>
    <row r="3" spans="1:11" x14ac:dyDescent="0.25">
      <c r="A3" t="s">
        <v>28</v>
      </c>
      <c r="B3">
        <v>12</v>
      </c>
      <c r="C3">
        <v>733</v>
      </c>
      <c r="D3">
        <v>1.64</v>
      </c>
      <c r="E3">
        <f>C3 * 1000</f>
        <v>733000</v>
      </c>
      <c r="F3" s="1">
        <v>13</v>
      </c>
      <c r="G3" s="1">
        <v>10</v>
      </c>
      <c r="H3" s="1">
        <v>-23.1</v>
      </c>
      <c r="I3">
        <f>Table1[[#This Row],[GHSA_Deaths_2023]]-Table1[[#This Row],[Pedestrians_Killed (FARS)]]</f>
        <v>-2</v>
      </c>
      <c r="J3" s="3">
        <f>(Table1[[#This Row],[GHSA_Deaths_2023]]-Table1[[#This Row],[Pedestrians_Killed (FARS)]])/Table1[[#This Row],[Pedestrians_Killed (FARS)]]</f>
        <v>-0.16666666666666666</v>
      </c>
      <c r="K3" s="3">
        <f>Table1[[#This Row],[GHSA_Deaths_2023]]/Table1[[#This Row],[Population_Actual_2023]]*100000</f>
        <v>1.3642564802182811</v>
      </c>
    </row>
    <row r="4" spans="1:11" x14ac:dyDescent="0.25">
      <c r="A4" t="s">
        <v>2</v>
      </c>
      <c r="B4">
        <v>271</v>
      </c>
      <c r="C4">
        <v>7431</v>
      </c>
      <c r="D4">
        <v>3.65</v>
      </c>
      <c r="E4">
        <f>C4 * 1000</f>
        <v>7431000</v>
      </c>
      <c r="F4" s="1">
        <v>312</v>
      </c>
      <c r="G4" s="1">
        <v>220</v>
      </c>
      <c r="H4" s="1">
        <v>-29.5</v>
      </c>
      <c r="I4">
        <f>Table1[[#This Row],[GHSA_Deaths_2023]]-Table1[[#This Row],[Pedestrians_Killed (FARS)]]</f>
        <v>-51</v>
      </c>
      <c r="J4" s="3">
        <f>(Table1[[#This Row],[GHSA_Deaths_2023]]-Table1[[#This Row],[Pedestrians_Killed (FARS)]])/Table1[[#This Row],[Pedestrians_Killed (FARS)]]</f>
        <v>-0.18819188191881919</v>
      </c>
      <c r="K4" s="3">
        <f>Table1[[#This Row],[GHSA_Deaths_2023]]/Table1[[#This Row],[Population_Actual_2023]]*100000</f>
        <v>2.9605705826941189</v>
      </c>
    </row>
    <row r="5" spans="1:11" x14ac:dyDescent="0.25">
      <c r="A5" t="s">
        <v>16</v>
      </c>
      <c r="B5">
        <v>74</v>
      </c>
      <c r="C5">
        <v>3068</v>
      </c>
      <c r="D5">
        <v>2.41</v>
      </c>
      <c r="E5">
        <f>C5 * 1000</f>
        <v>3068000</v>
      </c>
      <c r="F5" s="1">
        <v>77</v>
      </c>
      <c r="G5" s="1">
        <v>68</v>
      </c>
      <c r="H5" s="1">
        <v>-11.7</v>
      </c>
      <c r="I5">
        <f>Table1[[#This Row],[GHSA_Deaths_2023]]-Table1[[#This Row],[Pedestrians_Killed (FARS)]]</f>
        <v>-6</v>
      </c>
      <c r="J5" s="3">
        <f>(Table1[[#This Row],[GHSA_Deaths_2023]]-Table1[[#This Row],[Pedestrians_Killed (FARS)]])/Table1[[#This Row],[Pedestrians_Killed (FARS)]]</f>
        <v>-8.1081081081081086E-2</v>
      </c>
      <c r="K5" s="3">
        <f>Table1[[#This Row],[GHSA_Deaths_2023]]/Table1[[#This Row],[Population_Actual_2023]]*100000</f>
        <v>2.2164276401564535</v>
      </c>
    </row>
    <row r="6" spans="1:11" x14ac:dyDescent="0.25">
      <c r="A6" t="s">
        <v>8</v>
      </c>
      <c r="B6">
        <v>1106</v>
      </c>
      <c r="C6">
        <v>38965</v>
      </c>
      <c r="D6">
        <v>2.84</v>
      </c>
      <c r="E6">
        <f>C6 * 1000</f>
        <v>38965000</v>
      </c>
      <c r="F6" s="1">
        <v>1208</v>
      </c>
      <c r="G6" s="1">
        <v>1057</v>
      </c>
      <c r="H6" s="1">
        <v>-12.5</v>
      </c>
      <c r="I6">
        <f>Table1[[#This Row],[GHSA_Deaths_2023]]-Table1[[#This Row],[Pedestrians_Killed (FARS)]]</f>
        <v>-49</v>
      </c>
      <c r="J6" s="3">
        <f>(Table1[[#This Row],[GHSA_Deaths_2023]]-Table1[[#This Row],[Pedestrians_Killed (FARS)]])/Table1[[#This Row],[Pedestrians_Killed (FARS)]]</f>
        <v>-4.4303797468354431E-2</v>
      </c>
      <c r="K6" s="3">
        <f>Table1[[#This Row],[GHSA_Deaths_2023]]/Table1[[#This Row],[Population_Actual_2023]]*100000</f>
        <v>2.7126908764275632</v>
      </c>
    </row>
    <row r="7" spans="1:11" x14ac:dyDescent="0.25">
      <c r="A7" t="s">
        <v>19</v>
      </c>
      <c r="B7">
        <v>125</v>
      </c>
      <c r="C7">
        <v>5878</v>
      </c>
      <c r="D7">
        <v>2.13</v>
      </c>
      <c r="E7">
        <f>C7 * 1000</f>
        <v>5878000</v>
      </c>
      <c r="F7" s="1">
        <v>107</v>
      </c>
      <c r="G7" s="1">
        <v>136</v>
      </c>
      <c r="H7" s="1">
        <v>27.1</v>
      </c>
      <c r="I7">
        <f>Table1[[#This Row],[GHSA_Deaths_2023]]-Table1[[#This Row],[Pedestrians_Killed (FARS)]]</f>
        <v>11</v>
      </c>
      <c r="J7" s="3">
        <f>(Table1[[#This Row],[GHSA_Deaths_2023]]-Table1[[#This Row],[Pedestrians_Killed (FARS)]])/Table1[[#This Row],[Pedestrians_Killed (FARS)]]</f>
        <v>8.7999999999999995E-2</v>
      </c>
      <c r="K7" s="3">
        <f>Table1[[#This Row],[GHSA_Deaths_2023]]/Table1[[#This Row],[Population_Actual_2023]]*100000</f>
        <v>2.3137121469887716</v>
      </c>
    </row>
    <row r="8" spans="1:11" x14ac:dyDescent="0.25">
      <c r="A8" t="s">
        <v>38</v>
      </c>
      <c r="B8">
        <v>47</v>
      </c>
      <c r="C8">
        <v>3617</v>
      </c>
      <c r="D8">
        <v>1.3</v>
      </c>
      <c r="E8">
        <f>C8 * 1000</f>
        <v>3617000</v>
      </c>
      <c r="F8" s="1">
        <v>73</v>
      </c>
      <c r="G8" s="1">
        <v>48</v>
      </c>
      <c r="H8" s="1">
        <v>-34.299999999999997</v>
      </c>
      <c r="I8">
        <f>Table1[[#This Row],[GHSA_Deaths_2023]]-Table1[[#This Row],[Pedestrians_Killed (FARS)]]</f>
        <v>1</v>
      </c>
      <c r="J8" s="3">
        <f>(Table1[[#This Row],[GHSA_Deaths_2023]]-Table1[[#This Row],[Pedestrians_Killed (FARS)]])/Table1[[#This Row],[Pedestrians_Killed (FARS)]]</f>
        <v>2.1276595744680851E-2</v>
      </c>
      <c r="K8" s="3">
        <f>Table1[[#This Row],[GHSA_Deaths_2023]]/Table1[[#This Row],[Population_Actual_2023]]*100000</f>
        <v>1.3270666298037046</v>
      </c>
    </row>
    <row r="9" spans="1:11" x14ac:dyDescent="0.25">
      <c r="A9" t="s">
        <v>12</v>
      </c>
      <c r="B9">
        <v>27</v>
      </c>
      <c r="C9">
        <v>1032</v>
      </c>
      <c r="D9">
        <v>2.62</v>
      </c>
      <c r="E9">
        <f>C9 * 1000</f>
        <v>1032000</v>
      </c>
      <c r="F9" s="1">
        <v>33</v>
      </c>
      <c r="G9" s="1">
        <v>28</v>
      </c>
      <c r="H9" s="1">
        <v>-15.2</v>
      </c>
      <c r="I9">
        <f>Table1[[#This Row],[GHSA_Deaths_2023]]-Table1[[#This Row],[Pedestrians_Killed (FARS)]]</f>
        <v>1</v>
      </c>
      <c r="J9" s="3">
        <f>(Table1[[#This Row],[GHSA_Deaths_2023]]-Table1[[#This Row],[Pedestrians_Killed (FARS)]])/Table1[[#This Row],[Pedestrians_Killed (FARS)]]</f>
        <v>3.7037037037037035E-2</v>
      </c>
      <c r="K9" s="3">
        <f>Table1[[#This Row],[GHSA_Deaths_2023]]/Table1[[#This Row],[Population_Actual_2023]]*100000</f>
        <v>2.7131782945736433</v>
      </c>
    </row>
    <row r="10" spans="1:11" x14ac:dyDescent="0.25">
      <c r="A10" t="s">
        <v>21</v>
      </c>
      <c r="B10">
        <v>14</v>
      </c>
      <c r="C10">
        <v>679</v>
      </c>
      <c r="D10">
        <v>2.06</v>
      </c>
      <c r="E10">
        <f>C10 * 1000</f>
        <v>679000</v>
      </c>
      <c r="F10" s="1">
        <v>19</v>
      </c>
      <c r="G10" s="1">
        <v>20</v>
      </c>
      <c r="H10" s="1">
        <v>5.3</v>
      </c>
      <c r="I10">
        <f>Table1[[#This Row],[GHSA_Deaths_2023]]-Table1[[#This Row],[Pedestrians_Killed (FARS)]]</f>
        <v>6</v>
      </c>
      <c r="J10" s="3">
        <f>(Table1[[#This Row],[GHSA_Deaths_2023]]-Table1[[#This Row],[Pedestrians_Killed (FARS)]])/Table1[[#This Row],[Pedestrians_Killed (FARS)]]</f>
        <v>0.42857142857142855</v>
      </c>
      <c r="K10" s="3">
        <f>Table1[[#This Row],[GHSA_Deaths_2023]]/Table1[[#This Row],[Population_Actual_2023]]*100000</f>
        <v>2.9455081001472752</v>
      </c>
    </row>
    <row r="11" spans="1:11" x14ac:dyDescent="0.25">
      <c r="A11" t="s">
        <v>4</v>
      </c>
      <c r="B11">
        <v>771</v>
      </c>
      <c r="C11">
        <v>22611</v>
      </c>
      <c r="D11">
        <v>3.41</v>
      </c>
      <c r="E11">
        <f>C11 * 1000</f>
        <v>22611000</v>
      </c>
      <c r="F11" s="1">
        <v>780</v>
      </c>
      <c r="G11" s="1">
        <v>801</v>
      </c>
      <c r="H11" s="1">
        <v>2.7</v>
      </c>
      <c r="I11">
        <f>Table1[[#This Row],[GHSA_Deaths_2023]]-Table1[[#This Row],[Pedestrians_Killed (FARS)]]</f>
        <v>30</v>
      </c>
      <c r="J11" s="3">
        <f>(Table1[[#This Row],[GHSA_Deaths_2023]]-Table1[[#This Row],[Pedestrians_Killed (FARS)]])/Table1[[#This Row],[Pedestrians_Killed (FARS)]]</f>
        <v>3.8910505836575876E-2</v>
      </c>
      <c r="K11" s="3">
        <f>Table1[[#This Row],[GHSA_Deaths_2023]]/Table1[[#This Row],[Population_Actual_2023]]*100000</f>
        <v>3.5425235504842774</v>
      </c>
    </row>
    <row r="12" spans="1:11" x14ac:dyDescent="0.25">
      <c r="A12" t="s">
        <v>9</v>
      </c>
      <c r="B12">
        <v>310</v>
      </c>
      <c r="C12">
        <v>11029</v>
      </c>
      <c r="D12">
        <v>2.81</v>
      </c>
      <c r="E12">
        <f>C12 * 1000</f>
        <v>11029000</v>
      </c>
      <c r="F12" s="1">
        <v>335</v>
      </c>
      <c r="G12" s="1">
        <v>321</v>
      </c>
      <c r="H12" s="1">
        <v>-4.2</v>
      </c>
      <c r="I12">
        <f>Table1[[#This Row],[GHSA_Deaths_2023]]-Table1[[#This Row],[Pedestrians_Killed (FARS)]]</f>
        <v>11</v>
      </c>
      <c r="J12" s="3">
        <f>(Table1[[#This Row],[GHSA_Deaths_2023]]-Table1[[#This Row],[Pedestrians_Killed (FARS)]])/Table1[[#This Row],[Pedestrians_Killed (FARS)]]</f>
        <v>3.5483870967741936E-2</v>
      </c>
      <c r="K12" s="3">
        <f>Table1[[#This Row],[GHSA_Deaths_2023]]/Table1[[#This Row],[Population_Actual_2023]]*100000</f>
        <v>2.9105086589899356</v>
      </c>
    </row>
    <row r="13" spans="1:11" x14ac:dyDescent="0.25">
      <c r="A13" t="s">
        <v>32</v>
      </c>
      <c r="B13">
        <v>22</v>
      </c>
      <c r="C13">
        <v>1435</v>
      </c>
      <c r="D13">
        <v>1.53</v>
      </c>
      <c r="E13">
        <f>C13 * 1000</f>
        <v>1435000</v>
      </c>
      <c r="F13" s="1">
        <v>28</v>
      </c>
      <c r="G13" s="1">
        <v>22</v>
      </c>
      <c r="H13" s="1">
        <v>-21.4</v>
      </c>
      <c r="I13">
        <f>Table1[[#This Row],[GHSA_Deaths_2023]]-Table1[[#This Row],[Pedestrians_Killed (FARS)]]</f>
        <v>0</v>
      </c>
      <c r="J13" s="3">
        <f>(Table1[[#This Row],[GHSA_Deaths_2023]]-Table1[[#This Row],[Pedestrians_Killed (FARS)]])/Table1[[#This Row],[Pedestrians_Killed (FARS)]]</f>
        <v>0</v>
      </c>
      <c r="K13" s="3">
        <f>Table1[[#This Row],[GHSA_Deaths_2023]]/Table1[[#This Row],[Population_Actual_2023]]*100000</f>
        <v>1.5331010452961673</v>
      </c>
    </row>
    <row r="14" spans="1:11" x14ac:dyDescent="0.25">
      <c r="A14" t="s">
        <v>31</v>
      </c>
      <c r="B14">
        <v>31</v>
      </c>
      <c r="C14">
        <v>1965</v>
      </c>
      <c r="D14">
        <v>1.58</v>
      </c>
      <c r="E14">
        <f>C14 * 1000</f>
        <v>1965000</v>
      </c>
      <c r="F14" s="1">
        <v>16</v>
      </c>
      <c r="G14" s="1">
        <v>36</v>
      </c>
      <c r="H14" s="1">
        <v>125</v>
      </c>
      <c r="I14">
        <f>Table1[[#This Row],[GHSA_Deaths_2023]]-Table1[[#This Row],[Pedestrians_Killed (FARS)]]</f>
        <v>5</v>
      </c>
      <c r="J14" s="3">
        <f>(Table1[[#This Row],[GHSA_Deaths_2023]]-Table1[[#This Row],[Pedestrians_Killed (FARS)]])/Table1[[#This Row],[Pedestrians_Killed (FARS)]]</f>
        <v>0.16129032258064516</v>
      </c>
      <c r="K14" s="3">
        <f>Table1[[#This Row],[GHSA_Deaths_2023]]/Table1[[#This Row],[Population_Actual_2023]]*100000</f>
        <v>1.83206106870229</v>
      </c>
    </row>
    <row r="15" spans="1:11" x14ac:dyDescent="0.25">
      <c r="A15" t="s">
        <v>30</v>
      </c>
      <c r="B15">
        <v>199</v>
      </c>
      <c r="C15">
        <v>12550</v>
      </c>
      <c r="D15">
        <v>1.59</v>
      </c>
      <c r="E15">
        <f>C15 * 1000</f>
        <v>12550000</v>
      </c>
      <c r="F15" s="1">
        <v>197</v>
      </c>
      <c r="G15" s="1">
        <v>205</v>
      </c>
      <c r="H15" s="1">
        <v>4.0999999999999996</v>
      </c>
      <c r="I15">
        <f>Table1[[#This Row],[GHSA_Deaths_2023]]-Table1[[#This Row],[Pedestrians_Killed (FARS)]]</f>
        <v>6</v>
      </c>
      <c r="J15" s="3">
        <f>(Table1[[#This Row],[GHSA_Deaths_2023]]-Table1[[#This Row],[Pedestrians_Killed (FARS)]])/Table1[[#This Row],[Pedestrians_Killed (FARS)]]</f>
        <v>3.015075376884422E-2</v>
      </c>
      <c r="K15" s="3">
        <f>Table1[[#This Row],[GHSA_Deaths_2023]]/Table1[[#This Row],[Population_Actual_2023]]*100000</f>
        <v>1.6334661354581674</v>
      </c>
    </row>
    <row r="16" spans="1:11" x14ac:dyDescent="0.25">
      <c r="A16" t="s">
        <v>36</v>
      </c>
      <c r="B16">
        <v>96</v>
      </c>
      <c r="C16">
        <v>6862</v>
      </c>
      <c r="D16">
        <v>1.4</v>
      </c>
      <c r="E16">
        <f>C16 * 1000</f>
        <v>6862000</v>
      </c>
      <c r="F16" s="1">
        <v>114</v>
      </c>
      <c r="G16" s="1">
        <v>92</v>
      </c>
      <c r="H16" s="1">
        <v>-19.3</v>
      </c>
      <c r="I16">
        <f>Table1[[#This Row],[GHSA_Deaths_2023]]-Table1[[#This Row],[Pedestrians_Killed (FARS)]]</f>
        <v>-4</v>
      </c>
      <c r="J16" s="3">
        <f>(Table1[[#This Row],[GHSA_Deaths_2023]]-Table1[[#This Row],[Pedestrians_Killed (FARS)]])/Table1[[#This Row],[Pedestrians_Killed (FARS)]]</f>
        <v>-4.1666666666666664E-2</v>
      </c>
      <c r="K16" s="3">
        <f>Table1[[#This Row],[GHSA_Deaths_2023]]/Table1[[#This Row],[Population_Actual_2023]]*100000</f>
        <v>1.3407169921305742</v>
      </c>
    </row>
    <row r="17" spans="1:11" x14ac:dyDescent="0.25">
      <c r="A17" t="s">
        <v>47</v>
      </c>
      <c r="B17">
        <v>29</v>
      </c>
      <c r="C17">
        <v>3207</v>
      </c>
      <c r="D17">
        <v>0.9</v>
      </c>
      <c r="E17">
        <f>C17 * 1000</f>
        <v>3207000</v>
      </c>
      <c r="F17" s="1">
        <v>18</v>
      </c>
      <c r="G17" s="1">
        <v>30</v>
      </c>
      <c r="H17" s="1">
        <v>66.7</v>
      </c>
      <c r="I17">
        <f>Table1[[#This Row],[GHSA_Deaths_2023]]-Table1[[#This Row],[Pedestrians_Killed (FARS)]]</f>
        <v>1</v>
      </c>
      <c r="J17" s="3">
        <f>(Table1[[#This Row],[GHSA_Deaths_2023]]-Table1[[#This Row],[Pedestrians_Killed (FARS)]])/Table1[[#This Row],[Pedestrians_Killed (FARS)]]</f>
        <v>3.4482758620689655E-2</v>
      </c>
      <c r="K17" s="3">
        <f>Table1[[#This Row],[GHSA_Deaths_2023]]/Table1[[#This Row],[Population_Actual_2023]]*100000</f>
        <v>0.93545369504209541</v>
      </c>
    </row>
    <row r="18" spans="1:11" x14ac:dyDescent="0.25">
      <c r="A18" t="s">
        <v>39</v>
      </c>
      <c r="B18">
        <v>38</v>
      </c>
      <c r="C18">
        <v>2941</v>
      </c>
      <c r="D18">
        <v>1.29</v>
      </c>
      <c r="E18">
        <f>C18 * 1000</f>
        <v>2941000</v>
      </c>
      <c r="F18" s="1">
        <v>45</v>
      </c>
      <c r="G18" s="1">
        <v>49</v>
      </c>
      <c r="H18" s="1">
        <v>8.9</v>
      </c>
      <c r="I18">
        <f>Table1[[#This Row],[GHSA_Deaths_2023]]-Table1[[#This Row],[Pedestrians_Killed (FARS)]]</f>
        <v>11</v>
      </c>
      <c r="J18" s="3">
        <f>(Table1[[#This Row],[GHSA_Deaths_2023]]-Table1[[#This Row],[Pedestrians_Killed (FARS)]])/Table1[[#This Row],[Pedestrians_Killed (FARS)]]</f>
        <v>0.28947368421052633</v>
      </c>
      <c r="K18" s="3">
        <f>Table1[[#This Row],[GHSA_Deaths_2023]]/Table1[[#This Row],[Population_Actual_2023]]*100000</f>
        <v>1.6660999659979598</v>
      </c>
    </row>
    <row r="19" spans="1:11" x14ac:dyDescent="0.25">
      <c r="A19" t="s">
        <v>10</v>
      </c>
      <c r="B19">
        <v>121</v>
      </c>
      <c r="C19">
        <v>4526</v>
      </c>
      <c r="D19">
        <v>2.67</v>
      </c>
      <c r="E19">
        <f>C19 * 1000</f>
        <v>4526000</v>
      </c>
      <c r="F19" s="1">
        <v>96</v>
      </c>
      <c r="G19" s="1">
        <v>120</v>
      </c>
      <c r="H19" s="1">
        <v>25</v>
      </c>
      <c r="I19">
        <f>Table1[[#This Row],[GHSA_Deaths_2023]]-Table1[[#This Row],[Pedestrians_Killed (FARS)]]</f>
        <v>-1</v>
      </c>
      <c r="J19" s="3">
        <f>(Table1[[#This Row],[GHSA_Deaths_2023]]-Table1[[#This Row],[Pedestrians_Killed (FARS)]])/Table1[[#This Row],[Pedestrians_Killed (FARS)]]</f>
        <v>-8.2644628099173556E-3</v>
      </c>
      <c r="K19" s="3">
        <f>Table1[[#This Row],[GHSA_Deaths_2023]]/Table1[[#This Row],[Population_Actual_2023]]*100000</f>
        <v>2.6513477684489617</v>
      </c>
    </row>
    <row r="20" spans="1:11" x14ac:dyDescent="0.25">
      <c r="A20" t="s">
        <v>6</v>
      </c>
      <c r="B20">
        <v>145</v>
      </c>
      <c r="C20">
        <v>4574</v>
      </c>
      <c r="D20">
        <v>3.17</v>
      </c>
      <c r="E20">
        <f>C20 * 1000</f>
        <v>4574000</v>
      </c>
      <c r="F20" s="1">
        <v>181</v>
      </c>
      <c r="G20" s="1">
        <v>145</v>
      </c>
      <c r="H20" s="1">
        <v>-19.899999999999999</v>
      </c>
      <c r="I20">
        <f>Table1[[#This Row],[GHSA_Deaths_2023]]-Table1[[#This Row],[Pedestrians_Killed (FARS)]]</f>
        <v>0</v>
      </c>
      <c r="J20" s="3">
        <f>(Table1[[#This Row],[GHSA_Deaths_2023]]-Table1[[#This Row],[Pedestrians_Killed (FARS)]])/Table1[[#This Row],[Pedestrians_Killed (FARS)]]</f>
        <v>0</v>
      </c>
      <c r="K20" s="3">
        <f>Table1[[#This Row],[GHSA_Deaths_2023]]/Table1[[#This Row],[Population_Actual_2023]]*100000</f>
        <v>3.1700918233493662</v>
      </c>
    </row>
    <row r="21" spans="1:11" x14ac:dyDescent="0.25">
      <c r="A21" t="s">
        <v>37</v>
      </c>
      <c r="B21">
        <v>19</v>
      </c>
      <c r="C21">
        <v>1396</v>
      </c>
      <c r="D21">
        <v>1.36</v>
      </c>
      <c r="E21">
        <f>C21 * 1000</f>
        <v>1396000</v>
      </c>
      <c r="F21" s="1">
        <v>21</v>
      </c>
      <c r="G21" s="1">
        <v>20</v>
      </c>
      <c r="H21" s="1">
        <v>-4.8</v>
      </c>
      <c r="I21">
        <f>Table1[[#This Row],[GHSA_Deaths_2023]]-Table1[[#This Row],[Pedestrians_Killed (FARS)]]</f>
        <v>1</v>
      </c>
      <c r="J21" s="3">
        <f>(Table1[[#This Row],[GHSA_Deaths_2023]]-Table1[[#This Row],[Pedestrians_Killed (FARS)]])/Table1[[#This Row],[Pedestrians_Killed (FARS)]]</f>
        <v>5.2631578947368418E-2</v>
      </c>
      <c r="K21" s="3">
        <f>Table1[[#This Row],[GHSA_Deaths_2023]]/Table1[[#This Row],[Population_Actual_2023]]*100000</f>
        <v>1.4326647564469914</v>
      </c>
    </row>
    <row r="22" spans="1:11" x14ac:dyDescent="0.25">
      <c r="A22" t="s">
        <v>14</v>
      </c>
      <c r="B22">
        <v>160</v>
      </c>
      <c r="C22">
        <v>6180</v>
      </c>
      <c r="D22">
        <v>2.59</v>
      </c>
      <c r="E22">
        <f>C22 * 1000</f>
        <v>6180000</v>
      </c>
      <c r="F22" s="1">
        <v>137</v>
      </c>
      <c r="G22" s="1">
        <v>161</v>
      </c>
      <c r="H22" s="1">
        <v>17.5</v>
      </c>
      <c r="I22">
        <f>Table1[[#This Row],[GHSA_Deaths_2023]]-Table1[[#This Row],[Pedestrians_Killed (FARS)]]</f>
        <v>1</v>
      </c>
      <c r="J22" s="3">
        <f>(Table1[[#This Row],[GHSA_Deaths_2023]]-Table1[[#This Row],[Pedestrians_Killed (FARS)]])/Table1[[#This Row],[Pedestrians_Killed (FARS)]]</f>
        <v>6.2500000000000003E-3</v>
      </c>
      <c r="K22" s="3">
        <f>Table1[[#This Row],[GHSA_Deaths_2023]]/Table1[[#This Row],[Population_Actual_2023]]*100000</f>
        <v>2.6051779935275081</v>
      </c>
    </row>
    <row r="23" spans="1:11" x14ac:dyDescent="0.25">
      <c r="A23" t="s">
        <v>46</v>
      </c>
      <c r="B23">
        <v>67</v>
      </c>
      <c r="C23">
        <v>7001</v>
      </c>
      <c r="D23">
        <v>0.96</v>
      </c>
      <c r="E23">
        <f>C23 * 1000</f>
        <v>7001000</v>
      </c>
      <c r="F23" s="1">
        <v>98</v>
      </c>
      <c r="G23" s="1">
        <v>69</v>
      </c>
      <c r="H23" s="1">
        <v>-29.6</v>
      </c>
      <c r="I23">
        <f>Table1[[#This Row],[GHSA_Deaths_2023]]-Table1[[#This Row],[Pedestrians_Killed (FARS)]]</f>
        <v>2</v>
      </c>
      <c r="J23" s="3">
        <f>(Table1[[#This Row],[GHSA_Deaths_2023]]-Table1[[#This Row],[Pedestrians_Killed (FARS)]])/Table1[[#This Row],[Pedestrians_Killed (FARS)]]</f>
        <v>2.9850746268656716E-2</v>
      </c>
      <c r="K23" s="3">
        <f>Table1[[#This Row],[GHSA_Deaths_2023]]/Table1[[#This Row],[Population_Actual_2023]]*100000</f>
        <v>0.98557348950149981</v>
      </c>
    </row>
    <row r="24" spans="1:11" x14ac:dyDescent="0.25">
      <c r="A24" t="s">
        <v>27</v>
      </c>
      <c r="B24">
        <v>175</v>
      </c>
      <c r="C24">
        <v>10037</v>
      </c>
      <c r="D24">
        <v>1.74</v>
      </c>
      <c r="E24">
        <f>C24 * 1000</f>
        <v>10037000</v>
      </c>
      <c r="F24" s="1">
        <v>173</v>
      </c>
      <c r="G24" s="1">
        <v>181</v>
      </c>
      <c r="H24" s="1">
        <v>4.5999999999999996</v>
      </c>
      <c r="I24">
        <f>Table1[[#This Row],[GHSA_Deaths_2023]]-Table1[[#This Row],[Pedestrians_Killed (FARS)]]</f>
        <v>6</v>
      </c>
      <c r="J24" s="3">
        <f>(Table1[[#This Row],[GHSA_Deaths_2023]]-Table1[[#This Row],[Pedestrians_Killed (FARS)]])/Table1[[#This Row],[Pedestrians_Killed (FARS)]]</f>
        <v>3.4285714285714287E-2</v>
      </c>
      <c r="K24" s="3">
        <f>Table1[[#This Row],[GHSA_Deaths_2023]]/Table1[[#This Row],[Population_Actual_2023]]*100000</f>
        <v>1.8033276875560427</v>
      </c>
    </row>
    <row r="25" spans="1:11" x14ac:dyDescent="0.25">
      <c r="A25" t="s">
        <v>50</v>
      </c>
      <c r="B25">
        <v>42</v>
      </c>
      <c r="C25">
        <v>5738</v>
      </c>
      <c r="D25">
        <v>0.73</v>
      </c>
      <c r="E25">
        <f>C25 * 1000</f>
        <v>5738000</v>
      </c>
      <c r="F25" s="1">
        <v>45</v>
      </c>
      <c r="G25" s="1">
        <v>44</v>
      </c>
      <c r="H25" s="1">
        <v>-2.2000000000000002</v>
      </c>
      <c r="I25">
        <f>Table1[[#This Row],[GHSA_Deaths_2023]]-Table1[[#This Row],[Pedestrians_Killed (FARS)]]</f>
        <v>2</v>
      </c>
      <c r="J25" s="3">
        <f>(Table1[[#This Row],[GHSA_Deaths_2023]]-Table1[[#This Row],[Pedestrians_Killed (FARS)]])/Table1[[#This Row],[Pedestrians_Killed (FARS)]]</f>
        <v>4.7619047619047616E-2</v>
      </c>
      <c r="K25" s="3">
        <f>Table1[[#This Row],[GHSA_Deaths_2023]]/Table1[[#This Row],[Population_Actual_2023]]*100000</f>
        <v>0.76681770651795045</v>
      </c>
    </row>
    <row r="26" spans="1:11" x14ac:dyDescent="0.25">
      <c r="A26" t="s">
        <v>7</v>
      </c>
      <c r="B26">
        <v>86</v>
      </c>
      <c r="C26">
        <v>2940</v>
      </c>
      <c r="D26">
        <v>2.93</v>
      </c>
      <c r="E26">
        <f>C26 * 1000</f>
        <v>2940000</v>
      </c>
      <c r="F26" s="1">
        <v>80</v>
      </c>
      <c r="G26" s="1">
        <v>87</v>
      </c>
      <c r="H26" s="1">
        <v>8.8000000000000007</v>
      </c>
      <c r="I26">
        <f>Table1[[#This Row],[GHSA_Deaths_2023]]-Table1[[#This Row],[Pedestrians_Killed (FARS)]]</f>
        <v>1</v>
      </c>
      <c r="J26" s="3">
        <f>(Table1[[#This Row],[GHSA_Deaths_2023]]-Table1[[#This Row],[Pedestrians_Killed (FARS)]])/Table1[[#This Row],[Pedestrians_Killed (FARS)]]</f>
        <v>1.1627906976744186E-2</v>
      </c>
      <c r="K26" s="3">
        <f>Table1[[#This Row],[GHSA_Deaths_2023]]/Table1[[#This Row],[Population_Actual_2023]]*100000</f>
        <v>2.9591836734693877</v>
      </c>
    </row>
    <row r="27" spans="1:11" x14ac:dyDescent="0.25">
      <c r="A27" t="s">
        <v>22</v>
      </c>
      <c r="B27">
        <v>127</v>
      </c>
      <c r="C27">
        <v>6196</v>
      </c>
      <c r="D27">
        <v>2.0499999999999998</v>
      </c>
      <c r="E27">
        <f>C27 * 1000</f>
        <v>6196000</v>
      </c>
      <c r="F27" s="1">
        <v>130</v>
      </c>
      <c r="G27" s="1">
        <v>126</v>
      </c>
      <c r="H27" s="1">
        <v>-3.1</v>
      </c>
      <c r="I27">
        <f>Table1[[#This Row],[GHSA_Deaths_2023]]-Table1[[#This Row],[Pedestrians_Killed (FARS)]]</f>
        <v>-1</v>
      </c>
      <c r="J27" s="3">
        <f>(Table1[[#This Row],[GHSA_Deaths_2023]]-Table1[[#This Row],[Pedestrians_Killed (FARS)]])/Table1[[#This Row],[Pedestrians_Killed (FARS)]]</f>
        <v>-7.874015748031496E-3</v>
      </c>
      <c r="K27" s="3">
        <f>Table1[[#This Row],[GHSA_Deaths_2023]]/Table1[[#This Row],[Population_Actual_2023]]*100000</f>
        <v>2.0335700451904453</v>
      </c>
    </row>
    <row r="28" spans="1:11" x14ac:dyDescent="0.25">
      <c r="A28" t="s">
        <v>26</v>
      </c>
      <c r="B28">
        <v>20</v>
      </c>
      <c r="C28">
        <v>1133</v>
      </c>
      <c r="D28">
        <v>1.77</v>
      </c>
      <c r="E28">
        <f>C28 * 1000</f>
        <v>1133000</v>
      </c>
      <c r="F28" s="1">
        <v>21</v>
      </c>
      <c r="G28" s="1">
        <v>23</v>
      </c>
      <c r="H28" s="1">
        <v>9.5</v>
      </c>
      <c r="I28">
        <f>Table1[[#This Row],[GHSA_Deaths_2023]]-Table1[[#This Row],[Pedestrians_Killed (FARS)]]</f>
        <v>3</v>
      </c>
      <c r="J28" s="3">
        <f>(Table1[[#This Row],[GHSA_Deaths_2023]]-Table1[[#This Row],[Pedestrians_Killed (FARS)]])/Table1[[#This Row],[Pedestrians_Killed (FARS)]]</f>
        <v>0.15</v>
      </c>
      <c r="K28" s="3">
        <f>Table1[[#This Row],[GHSA_Deaths_2023]]/Table1[[#This Row],[Population_Actual_2023]]*100000</f>
        <v>2.0300088261253308</v>
      </c>
    </row>
    <row r="29" spans="1:11" x14ac:dyDescent="0.25">
      <c r="A29" t="s">
        <v>51</v>
      </c>
      <c r="B29">
        <v>13</v>
      </c>
      <c r="C29">
        <v>1978</v>
      </c>
      <c r="D29">
        <v>0.66</v>
      </c>
      <c r="E29">
        <f>C29 * 1000</f>
        <v>1978000</v>
      </c>
      <c r="F29" s="1">
        <v>23</v>
      </c>
      <c r="G29" s="1">
        <v>14</v>
      </c>
      <c r="H29" s="1">
        <v>-39.1</v>
      </c>
      <c r="I29">
        <f>Table1[[#This Row],[GHSA_Deaths_2023]]-Table1[[#This Row],[Pedestrians_Killed (FARS)]]</f>
        <v>1</v>
      </c>
      <c r="J29" s="3">
        <f>(Table1[[#This Row],[GHSA_Deaths_2023]]-Table1[[#This Row],[Pedestrians_Killed (FARS)]])/Table1[[#This Row],[Pedestrians_Killed (FARS)]]</f>
        <v>7.6923076923076927E-2</v>
      </c>
      <c r="K29" s="3">
        <f>Table1[[#This Row],[GHSA_Deaths_2023]]/Table1[[#This Row],[Population_Actual_2023]]*100000</f>
        <v>0.70778564206268957</v>
      </c>
    </row>
    <row r="30" spans="1:11" x14ac:dyDescent="0.25">
      <c r="A30" t="s">
        <v>5</v>
      </c>
      <c r="B30">
        <v>106</v>
      </c>
      <c r="C30">
        <v>3194</v>
      </c>
      <c r="D30">
        <v>3.32</v>
      </c>
      <c r="E30">
        <f>C30 * 1000</f>
        <v>3194000</v>
      </c>
      <c r="F30" s="1">
        <v>89</v>
      </c>
      <c r="G30" s="1">
        <v>109</v>
      </c>
      <c r="H30" s="1">
        <v>22.5</v>
      </c>
      <c r="I30">
        <f>Table1[[#This Row],[GHSA_Deaths_2023]]-Table1[[#This Row],[Pedestrians_Killed (FARS)]]</f>
        <v>3</v>
      </c>
      <c r="J30" s="3">
        <f>(Table1[[#This Row],[GHSA_Deaths_2023]]-Table1[[#This Row],[Pedestrians_Killed (FARS)]])/Table1[[#This Row],[Pedestrians_Killed (FARS)]]</f>
        <v>2.8301886792452831E-2</v>
      </c>
      <c r="K30" s="3">
        <f>Table1[[#This Row],[GHSA_Deaths_2023]]/Table1[[#This Row],[Population_Actual_2023]]*100000</f>
        <v>3.4126487163431434</v>
      </c>
    </row>
    <row r="31" spans="1:11" x14ac:dyDescent="0.25">
      <c r="A31" t="s">
        <v>43</v>
      </c>
      <c r="B31">
        <v>15</v>
      </c>
      <c r="C31">
        <v>1402</v>
      </c>
      <c r="D31">
        <v>1.07</v>
      </c>
      <c r="E31">
        <f>C31 * 1000</f>
        <v>1402000</v>
      </c>
      <c r="F31" s="1">
        <v>17</v>
      </c>
      <c r="G31" s="1">
        <v>15</v>
      </c>
      <c r="H31" s="1">
        <v>-11.8</v>
      </c>
      <c r="I31">
        <f>Table1[[#This Row],[GHSA_Deaths_2023]]-Table1[[#This Row],[Pedestrians_Killed (FARS)]]</f>
        <v>0</v>
      </c>
      <c r="J31" s="3">
        <f>(Table1[[#This Row],[GHSA_Deaths_2023]]-Table1[[#This Row],[Pedestrians_Killed (FARS)]])/Table1[[#This Row],[Pedestrians_Killed (FARS)]]</f>
        <v>0</v>
      </c>
      <c r="K31" s="3">
        <f>Table1[[#This Row],[GHSA_Deaths_2023]]/Table1[[#This Row],[Population_Actual_2023]]*100000</f>
        <v>1.0699001426533523</v>
      </c>
    </row>
    <row r="32" spans="1:11" x14ac:dyDescent="0.25">
      <c r="A32" t="s">
        <v>25</v>
      </c>
      <c r="B32">
        <v>165</v>
      </c>
      <c r="C32">
        <v>9291</v>
      </c>
      <c r="D32">
        <v>1.78</v>
      </c>
      <c r="E32">
        <f>C32 * 1000</f>
        <v>9291000</v>
      </c>
      <c r="F32" s="1">
        <v>192</v>
      </c>
      <c r="G32" s="1">
        <v>171</v>
      </c>
      <c r="H32" s="1">
        <v>-10.9</v>
      </c>
      <c r="I32">
        <f>Table1[[#This Row],[GHSA_Deaths_2023]]-Table1[[#This Row],[Pedestrians_Killed (FARS)]]</f>
        <v>6</v>
      </c>
      <c r="J32" s="3">
        <f>(Table1[[#This Row],[GHSA_Deaths_2023]]-Table1[[#This Row],[Pedestrians_Killed (FARS)]])/Table1[[#This Row],[Pedestrians_Killed (FARS)]]</f>
        <v>3.6363636363636362E-2</v>
      </c>
      <c r="K32" s="3">
        <f>Table1[[#This Row],[GHSA_Deaths_2023]]/Table1[[#This Row],[Population_Actual_2023]]*100000</f>
        <v>1.8404907975460123</v>
      </c>
    </row>
    <row r="33" spans="1:11" x14ac:dyDescent="0.25">
      <c r="A33" t="s">
        <v>1</v>
      </c>
      <c r="B33">
        <v>105</v>
      </c>
      <c r="C33">
        <v>2114</v>
      </c>
      <c r="D33">
        <v>4.97</v>
      </c>
      <c r="E33">
        <f>C33 * 1000</f>
        <v>2114000</v>
      </c>
      <c r="F33" s="1">
        <v>93</v>
      </c>
      <c r="G33" s="1">
        <v>99</v>
      </c>
      <c r="H33" s="1">
        <v>6.5</v>
      </c>
      <c r="I33">
        <f>Table1[[#This Row],[GHSA_Deaths_2023]]-Table1[[#This Row],[Pedestrians_Killed (FARS)]]</f>
        <v>-6</v>
      </c>
      <c r="J33" s="3">
        <f>(Table1[[#This Row],[GHSA_Deaths_2023]]-Table1[[#This Row],[Pedestrians_Killed (FARS)]])/Table1[[#This Row],[Pedestrians_Killed (FARS)]]</f>
        <v>-5.7142857142857141E-2</v>
      </c>
      <c r="K33" s="3">
        <f>Table1[[#This Row],[GHSA_Deaths_2023]]/Table1[[#This Row],[Population_Actual_2023]]*100000</f>
        <v>4.6830652790917693</v>
      </c>
    </row>
    <row r="34" spans="1:11" x14ac:dyDescent="0.25">
      <c r="A34" t="s">
        <v>34</v>
      </c>
      <c r="B34">
        <v>289</v>
      </c>
      <c r="C34">
        <v>19571</v>
      </c>
      <c r="D34">
        <v>1.48</v>
      </c>
      <c r="E34">
        <f>C34 * 1000</f>
        <v>19571000</v>
      </c>
      <c r="F34" s="1">
        <v>329</v>
      </c>
      <c r="G34" s="1">
        <v>283</v>
      </c>
      <c r="H34" s="1">
        <v>-14</v>
      </c>
      <c r="I34">
        <f>Table1[[#This Row],[GHSA_Deaths_2023]]-Table1[[#This Row],[Pedestrians_Killed (FARS)]]</f>
        <v>-6</v>
      </c>
      <c r="J34" s="3">
        <f>(Table1[[#This Row],[GHSA_Deaths_2023]]-Table1[[#This Row],[Pedestrians_Killed (FARS)]])/Table1[[#This Row],[Pedestrians_Killed (FARS)]]</f>
        <v>-2.0761245674740483E-2</v>
      </c>
      <c r="K34" s="3">
        <f>Table1[[#This Row],[GHSA_Deaths_2023]]/Table1[[#This Row],[Population_Actual_2023]]*100000</f>
        <v>1.4460170660671401</v>
      </c>
    </row>
    <row r="35" spans="1:11" x14ac:dyDescent="0.25">
      <c r="A35" t="s">
        <v>20</v>
      </c>
      <c r="B35">
        <v>229</v>
      </c>
      <c r="C35">
        <v>10835</v>
      </c>
      <c r="D35">
        <v>2.11</v>
      </c>
      <c r="E35">
        <f>C35 * 1000</f>
        <v>10835000</v>
      </c>
      <c r="F35" s="1">
        <v>265</v>
      </c>
      <c r="G35" s="1">
        <v>248</v>
      </c>
      <c r="H35" s="1">
        <v>-6.4</v>
      </c>
      <c r="I35">
        <f>Table1[[#This Row],[GHSA_Deaths_2023]]-Table1[[#This Row],[Pedestrians_Killed (FARS)]]</f>
        <v>19</v>
      </c>
      <c r="J35" s="3">
        <f>(Table1[[#This Row],[GHSA_Deaths_2023]]-Table1[[#This Row],[Pedestrians_Killed (FARS)]])/Table1[[#This Row],[Pedestrians_Killed (FARS)]]</f>
        <v>8.296943231441048E-2</v>
      </c>
      <c r="K35" s="3">
        <f>Table1[[#This Row],[GHSA_Deaths_2023]]/Table1[[#This Row],[Population_Actual_2023]]*100000</f>
        <v>2.288878634056299</v>
      </c>
    </row>
    <row r="36" spans="1:11" x14ac:dyDescent="0.25">
      <c r="A36" t="s">
        <v>40</v>
      </c>
      <c r="B36">
        <v>10</v>
      </c>
      <c r="C36">
        <v>784</v>
      </c>
      <c r="D36">
        <v>1.28</v>
      </c>
      <c r="E36">
        <f>C36 * 1000</f>
        <v>784000</v>
      </c>
      <c r="F36" s="1">
        <v>6</v>
      </c>
      <c r="G36" s="1">
        <v>10</v>
      </c>
      <c r="H36" s="1">
        <v>66.7</v>
      </c>
      <c r="I36">
        <f>Table1[[#This Row],[GHSA_Deaths_2023]]-Table1[[#This Row],[Pedestrians_Killed (FARS)]]</f>
        <v>0</v>
      </c>
      <c r="J36" s="3">
        <f>(Table1[[#This Row],[GHSA_Deaths_2023]]-Table1[[#This Row],[Pedestrians_Killed (FARS)]])/Table1[[#This Row],[Pedestrians_Killed (FARS)]]</f>
        <v>0</v>
      </c>
      <c r="K36" s="3">
        <f>Table1[[#This Row],[GHSA_Deaths_2023]]/Table1[[#This Row],[Population_Actual_2023]]*100000</f>
        <v>1.2755102040816326</v>
      </c>
    </row>
    <row r="37" spans="1:11" x14ac:dyDescent="0.25">
      <c r="A37" t="s">
        <v>41</v>
      </c>
      <c r="B37">
        <v>145</v>
      </c>
      <c r="C37">
        <v>11786</v>
      </c>
      <c r="D37">
        <v>1.23</v>
      </c>
      <c r="E37">
        <f>C37 * 1000</f>
        <v>11786000</v>
      </c>
      <c r="F37" s="1">
        <v>165</v>
      </c>
      <c r="G37" s="1">
        <v>151</v>
      </c>
      <c r="H37" s="1">
        <v>-8.5</v>
      </c>
      <c r="I37">
        <f>Table1[[#This Row],[GHSA_Deaths_2023]]-Table1[[#This Row],[Pedestrians_Killed (FARS)]]</f>
        <v>6</v>
      </c>
      <c r="J37" s="3">
        <f>(Table1[[#This Row],[GHSA_Deaths_2023]]-Table1[[#This Row],[Pedestrians_Killed (FARS)]])/Table1[[#This Row],[Pedestrians_Killed (FARS)]]</f>
        <v>4.1379310344827586E-2</v>
      </c>
      <c r="K37" s="3">
        <f>Table1[[#This Row],[GHSA_Deaths_2023]]/Table1[[#This Row],[Population_Actual_2023]]*100000</f>
        <v>1.2811810622772781</v>
      </c>
    </row>
    <row r="38" spans="1:11" x14ac:dyDescent="0.25">
      <c r="A38" t="s">
        <v>18</v>
      </c>
      <c r="B38">
        <v>87</v>
      </c>
      <c r="C38">
        <v>4054</v>
      </c>
      <c r="D38">
        <v>2.15</v>
      </c>
      <c r="E38">
        <f>C38 * 1000</f>
        <v>4054000</v>
      </c>
      <c r="F38" s="1">
        <v>96</v>
      </c>
      <c r="G38" s="1">
        <v>72</v>
      </c>
      <c r="H38" s="1">
        <v>-25</v>
      </c>
      <c r="I38">
        <f>Table1[[#This Row],[GHSA_Deaths_2023]]-Table1[[#This Row],[Pedestrians_Killed (FARS)]]</f>
        <v>-15</v>
      </c>
      <c r="J38" s="3">
        <f>(Table1[[#This Row],[GHSA_Deaths_2023]]-Table1[[#This Row],[Pedestrians_Killed (FARS)]])/Table1[[#This Row],[Pedestrians_Killed (FARS)]]</f>
        <v>-0.17241379310344829</v>
      </c>
      <c r="K38" s="3">
        <f>Table1[[#This Row],[GHSA_Deaths_2023]]/Table1[[#This Row],[Population_Actual_2023]]*100000</f>
        <v>1.7760236803157374</v>
      </c>
    </row>
    <row r="39" spans="1:11" x14ac:dyDescent="0.25">
      <c r="A39" t="s">
        <v>17</v>
      </c>
      <c r="B39">
        <v>101</v>
      </c>
      <c r="C39">
        <v>4233</v>
      </c>
      <c r="D39">
        <v>2.39</v>
      </c>
      <c r="E39">
        <f>C39 * 1000</f>
        <v>4233000</v>
      </c>
      <c r="F39" s="1">
        <v>127</v>
      </c>
      <c r="G39" s="1">
        <v>108</v>
      </c>
      <c r="H39" s="1">
        <v>-15</v>
      </c>
      <c r="I39">
        <f>Table1[[#This Row],[GHSA_Deaths_2023]]-Table1[[#This Row],[Pedestrians_Killed (FARS)]]</f>
        <v>7</v>
      </c>
      <c r="J39" s="3">
        <f>(Table1[[#This Row],[GHSA_Deaths_2023]]-Table1[[#This Row],[Pedestrians_Killed (FARS)]])/Table1[[#This Row],[Pedestrians_Killed (FARS)]]</f>
        <v>6.9306930693069313E-2</v>
      </c>
      <c r="K39" s="3">
        <f>Table1[[#This Row],[GHSA_Deaths_2023]]/Table1[[#This Row],[Population_Actual_2023]]*100000</f>
        <v>2.5513819985825656</v>
      </c>
    </row>
    <row r="40" spans="1:11" x14ac:dyDescent="0.25">
      <c r="A40" t="s">
        <v>35</v>
      </c>
      <c r="B40">
        <v>185</v>
      </c>
      <c r="C40">
        <v>12962</v>
      </c>
      <c r="D40">
        <v>1.43</v>
      </c>
      <c r="E40">
        <f>C40 * 1000</f>
        <v>12962000</v>
      </c>
      <c r="F40" s="1">
        <v>184</v>
      </c>
      <c r="G40" s="1">
        <v>192</v>
      </c>
      <c r="H40" s="1">
        <v>4.4000000000000004</v>
      </c>
      <c r="I40">
        <f>Table1[[#This Row],[GHSA_Deaths_2023]]-Table1[[#This Row],[Pedestrians_Killed (FARS)]]</f>
        <v>7</v>
      </c>
      <c r="J40" s="3">
        <f>(Table1[[#This Row],[GHSA_Deaths_2023]]-Table1[[#This Row],[Pedestrians_Killed (FARS)]])/Table1[[#This Row],[Pedestrians_Killed (FARS)]]</f>
        <v>3.783783783783784E-2</v>
      </c>
      <c r="K40" s="3">
        <f>Table1[[#This Row],[GHSA_Deaths_2023]]/Table1[[#This Row],[Population_Actual_2023]]*100000</f>
        <v>1.4812528930720568</v>
      </c>
    </row>
    <row r="41" spans="1:11" x14ac:dyDescent="0.25">
      <c r="A41" t="s">
        <v>44</v>
      </c>
      <c r="B41">
        <v>11</v>
      </c>
      <c r="C41">
        <v>1096</v>
      </c>
      <c r="D41">
        <v>1</v>
      </c>
      <c r="E41">
        <f>C41 * 1000</f>
        <v>1096000</v>
      </c>
      <c r="F41" s="1">
        <v>7</v>
      </c>
      <c r="G41" s="1">
        <v>11</v>
      </c>
      <c r="H41" s="1">
        <v>57.1</v>
      </c>
      <c r="I41">
        <f>Table1[[#This Row],[GHSA_Deaths_2023]]-Table1[[#This Row],[Pedestrians_Killed (FARS)]]</f>
        <v>0</v>
      </c>
      <c r="J41" s="3">
        <f>(Table1[[#This Row],[GHSA_Deaths_2023]]-Table1[[#This Row],[Pedestrians_Killed (FARS)]])/Table1[[#This Row],[Pedestrians_Killed (FARS)]]</f>
        <v>0</v>
      </c>
      <c r="K41" s="3">
        <f>Table1[[#This Row],[GHSA_Deaths_2023]]/Table1[[#This Row],[Population_Actual_2023]]*100000</f>
        <v>1.0036496350364963</v>
      </c>
    </row>
    <row r="42" spans="1:11" x14ac:dyDescent="0.25">
      <c r="A42" t="s">
        <v>3</v>
      </c>
      <c r="B42">
        <v>187</v>
      </c>
      <c r="C42">
        <v>5374</v>
      </c>
      <c r="D42">
        <v>3.48</v>
      </c>
      <c r="E42">
        <f>C42 * 1000</f>
        <v>5374000</v>
      </c>
      <c r="F42" s="1">
        <v>173</v>
      </c>
      <c r="G42" s="1">
        <v>182</v>
      </c>
      <c r="H42" s="1">
        <v>5.2</v>
      </c>
      <c r="I42">
        <f>Table1[[#This Row],[GHSA_Deaths_2023]]-Table1[[#This Row],[Pedestrians_Killed (FARS)]]</f>
        <v>-5</v>
      </c>
      <c r="J42" s="3">
        <f>(Table1[[#This Row],[GHSA_Deaths_2023]]-Table1[[#This Row],[Pedestrians_Killed (FARS)]])/Table1[[#This Row],[Pedestrians_Killed (FARS)]]</f>
        <v>-2.6737967914438502E-2</v>
      </c>
      <c r="K42" s="3">
        <f>Table1[[#This Row],[GHSA_Deaths_2023]]/Table1[[#This Row],[Population_Actual_2023]]*100000</f>
        <v>3.3866765909936736</v>
      </c>
    </row>
    <row r="43" spans="1:11" x14ac:dyDescent="0.25">
      <c r="A43" t="s">
        <v>29</v>
      </c>
      <c r="B43">
        <v>15</v>
      </c>
      <c r="C43">
        <v>919</v>
      </c>
      <c r="D43">
        <v>1.63</v>
      </c>
      <c r="E43">
        <f>C43 * 1000</f>
        <v>919000</v>
      </c>
      <c r="F43" s="1">
        <v>13</v>
      </c>
      <c r="G43" s="1">
        <v>15</v>
      </c>
      <c r="H43" s="1">
        <v>15.4</v>
      </c>
      <c r="I43">
        <f>Table1[[#This Row],[GHSA_Deaths_2023]]-Table1[[#This Row],[Pedestrians_Killed (FARS)]]</f>
        <v>0</v>
      </c>
      <c r="J43" s="3">
        <f>(Table1[[#This Row],[GHSA_Deaths_2023]]-Table1[[#This Row],[Pedestrians_Killed (FARS)]])/Table1[[#This Row],[Pedestrians_Killed (FARS)]]</f>
        <v>0</v>
      </c>
      <c r="K43" s="3">
        <f>Table1[[#This Row],[GHSA_Deaths_2023]]/Table1[[#This Row],[Population_Actual_2023]]*100000</f>
        <v>1.632208922742111</v>
      </c>
    </row>
    <row r="44" spans="1:11" x14ac:dyDescent="0.25">
      <c r="A44" t="s">
        <v>13</v>
      </c>
      <c r="B44">
        <v>186</v>
      </c>
      <c r="C44">
        <v>7126</v>
      </c>
      <c r="D44">
        <v>2.61</v>
      </c>
      <c r="E44">
        <f>C44 * 1000</f>
        <v>7126000</v>
      </c>
      <c r="F44" s="1">
        <v>210</v>
      </c>
      <c r="G44" s="1">
        <v>187</v>
      </c>
      <c r="H44" s="1">
        <v>-11</v>
      </c>
      <c r="I44">
        <f>Table1[[#This Row],[GHSA_Deaths_2023]]-Table1[[#This Row],[Pedestrians_Killed (FARS)]]</f>
        <v>1</v>
      </c>
      <c r="J44" s="3">
        <f>(Table1[[#This Row],[GHSA_Deaths_2023]]-Table1[[#This Row],[Pedestrians_Killed (FARS)]])/Table1[[#This Row],[Pedestrians_Killed (FARS)]]</f>
        <v>5.3763440860215058E-3</v>
      </c>
      <c r="K44" s="3">
        <f>Table1[[#This Row],[GHSA_Deaths_2023]]/Table1[[#This Row],[Population_Actual_2023]]*100000</f>
        <v>2.6241930957058659</v>
      </c>
    </row>
    <row r="45" spans="1:11" x14ac:dyDescent="0.25">
      <c r="A45" t="s">
        <v>11</v>
      </c>
      <c r="B45">
        <v>800</v>
      </c>
      <c r="C45">
        <v>30503</v>
      </c>
      <c r="D45">
        <v>2.62</v>
      </c>
      <c r="E45">
        <f>C45 * 1000</f>
        <v>30503000</v>
      </c>
      <c r="F45" s="1">
        <v>816</v>
      </c>
      <c r="G45" s="1">
        <v>804</v>
      </c>
      <c r="H45" s="1">
        <v>-1.5</v>
      </c>
      <c r="I45">
        <f>Table1[[#This Row],[GHSA_Deaths_2023]]-Table1[[#This Row],[Pedestrians_Killed (FARS)]]</f>
        <v>4</v>
      </c>
      <c r="J45" s="3">
        <f>(Table1[[#This Row],[GHSA_Deaths_2023]]-Table1[[#This Row],[Pedestrians_Killed (FARS)]])/Table1[[#This Row],[Pedestrians_Killed (FARS)]]</f>
        <v>5.0000000000000001E-3</v>
      </c>
      <c r="K45" s="3">
        <f>Table1[[#This Row],[GHSA_Deaths_2023]]/Table1[[#This Row],[Population_Actual_2023]]*100000</f>
        <v>2.6358063141330361</v>
      </c>
    </row>
    <row r="46" spans="1:11" x14ac:dyDescent="0.25">
      <c r="A46" t="s">
        <v>42</v>
      </c>
      <c r="B46">
        <v>38</v>
      </c>
      <c r="C46">
        <v>3418</v>
      </c>
      <c r="D46">
        <v>1.1100000000000001</v>
      </c>
      <c r="E46">
        <f>C46 * 1000</f>
        <v>3418000</v>
      </c>
      <c r="F46" s="1">
        <v>54</v>
      </c>
      <c r="G46" s="1">
        <v>40</v>
      </c>
      <c r="H46" s="1">
        <v>-25.9</v>
      </c>
      <c r="I46">
        <f>Table1[[#This Row],[GHSA_Deaths_2023]]-Table1[[#This Row],[Pedestrians_Killed (FARS)]]</f>
        <v>2</v>
      </c>
      <c r="J46" s="3">
        <f>(Table1[[#This Row],[GHSA_Deaths_2023]]-Table1[[#This Row],[Pedestrians_Killed (FARS)]])/Table1[[#This Row],[Pedestrians_Killed (FARS)]]</f>
        <v>5.2631578947368418E-2</v>
      </c>
      <c r="K46" s="3">
        <f>Table1[[#This Row],[GHSA_Deaths_2023]]/Table1[[#This Row],[Population_Actual_2023]]*100000</f>
        <v>1.1702750146284375</v>
      </c>
    </row>
    <row r="47" spans="1:11" x14ac:dyDescent="0.25">
      <c r="A47" t="s">
        <v>49</v>
      </c>
      <c r="B47">
        <v>5</v>
      </c>
      <c r="C47">
        <v>647</v>
      </c>
      <c r="D47">
        <v>0.77</v>
      </c>
      <c r="E47">
        <f>C47 * 1000</f>
        <v>647000</v>
      </c>
      <c r="F47" s="1">
        <v>6</v>
      </c>
      <c r="G47" s="1">
        <v>5</v>
      </c>
      <c r="H47" s="1">
        <v>-16.7</v>
      </c>
      <c r="I47">
        <f>Table1[[#This Row],[GHSA_Deaths_2023]]-Table1[[#This Row],[Pedestrians_Killed (FARS)]]</f>
        <v>0</v>
      </c>
      <c r="J47" s="3">
        <f>(Table1[[#This Row],[GHSA_Deaths_2023]]-Table1[[#This Row],[Pedestrians_Killed (FARS)]])/Table1[[#This Row],[Pedestrians_Killed (FARS)]]</f>
        <v>0</v>
      </c>
      <c r="K47" s="3">
        <f>Table1[[#This Row],[GHSA_Deaths_2023]]/Table1[[#This Row],[Population_Actual_2023]]*100000</f>
        <v>0.77279752704791338</v>
      </c>
    </row>
    <row r="48" spans="1:11" x14ac:dyDescent="0.25">
      <c r="A48" t="s">
        <v>33</v>
      </c>
      <c r="B48">
        <v>129</v>
      </c>
      <c r="C48">
        <v>8716</v>
      </c>
      <c r="D48">
        <v>1.48</v>
      </c>
      <c r="E48">
        <f>C48 * 1000</f>
        <v>8716000</v>
      </c>
      <c r="F48" s="1">
        <v>171</v>
      </c>
      <c r="G48" s="1">
        <v>133</v>
      </c>
      <c r="H48" s="1">
        <v>-22.2</v>
      </c>
      <c r="I48">
        <f>Table1[[#This Row],[GHSA_Deaths_2023]]-Table1[[#This Row],[Pedestrians_Killed (FARS)]]</f>
        <v>4</v>
      </c>
      <c r="J48" s="3">
        <f>(Table1[[#This Row],[GHSA_Deaths_2023]]-Table1[[#This Row],[Pedestrians_Killed (FARS)]])/Table1[[#This Row],[Pedestrians_Killed (FARS)]]</f>
        <v>3.1007751937984496E-2</v>
      </c>
      <c r="K48" s="3">
        <f>Table1[[#This Row],[GHSA_Deaths_2023]]/Table1[[#This Row],[Population_Actual_2023]]*100000</f>
        <v>1.5259293253786141</v>
      </c>
    </row>
    <row r="49" spans="1:11" x14ac:dyDescent="0.25">
      <c r="A49" t="s">
        <v>23</v>
      </c>
      <c r="B49">
        <v>150</v>
      </c>
      <c r="C49">
        <v>7813</v>
      </c>
      <c r="D49">
        <v>1.92</v>
      </c>
      <c r="E49">
        <f>C49 * 1000</f>
        <v>7813000</v>
      </c>
      <c r="F49" s="1">
        <v>131</v>
      </c>
      <c r="G49" s="1">
        <v>146</v>
      </c>
      <c r="H49" s="1">
        <v>11.5</v>
      </c>
      <c r="I49">
        <f>Table1[[#This Row],[GHSA_Deaths_2023]]-Table1[[#This Row],[Pedestrians_Killed (FARS)]]</f>
        <v>-4</v>
      </c>
      <c r="J49" s="3">
        <f>(Table1[[#This Row],[GHSA_Deaths_2023]]-Table1[[#This Row],[Pedestrians_Killed (FARS)]])/Table1[[#This Row],[Pedestrians_Killed (FARS)]]</f>
        <v>-2.6666666666666668E-2</v>
      </c>
      <c r="K49" s="3">
        <f>Table1[[#This Row],[GHSA_Deaths_2023]]/Table1[[#This Row],[Population_Actual_2023]]*100000</f>
        <v>1.868680404454115</v>
      </c>
    </row>
    <row r="50" spans="1:11" x14ac:dyDescent="0.25">
      <c r="A50" t="s">
        <v>48</v>
      </c>
      <c r="B50">
        <v>15</v>
      </c>
      <c r="C50">
        <v>1770</v>
      </c>
      <c r="D50">
        <v>0.85</v>
      </c>
      <c r="E50">
        <f>C50 * 1000</f>
        <v>1770000</v>
      </c>
      <c r="F50" s="1">
        <v>22</v>
      </c>
      <c r="G50" s="1">
        <v>20</v>
      </c>
      <c r="H50" s="1">
        <v>-9.1</v>
      </c>
      <c r="I50">
        <f>Table1[[#This Row],[GHSA_Deaths_2023]]-Table1[[#This Row],[Pedestrians_Killed (FARS)]]</f>
        <v>5</v>
      </c>
      <c r="J50" s="3">
        <f>(Table1[[#This Row],[GHSA_Deaths_2023]]-Table1[[#This Row],[Pedestrians_Killed (FARS)]])/Table1[[#This Row],[Pedestrians_Killed (FARS)]]</f>
        <v>0.33333333333333331</v>
      </c>
      <c r="K50" s="3">
        <f>Table1[[#This Row],[GHSA_Deaths_2023]]/Table1[[#This Row],[Population_Actual_2023]]*100000</f>
        <v>1.1299435028248588</v>
      </c>
    </row>
    <row r="51" spans="1:11" x14ac:dyDescent="0.25">
      <c r="A51" t="s">
        <v>45</v>
      </c>
      <c r="B51">
        <v>59</v>
      </c>
      <c r="C51">
        <v>5911</v>
      </c>
      <c r="D51">
        <v>1</v>
      </c>
      <c r="E51">
        <f>C51 * 1000</f>
        <v>5911000</v>
      </c>
      <c r="F51" s="1">
        <v>72</v>
      </c>
      <c r="G51" s="1">
        <v>55</v>
      </c>
      <c r="H51" s="1">
        <v>-23.6</v>
      </c>
      <c r="I51">
        <f>Table1[[#This Row],[GHSA_Deaths_2023]]-Table1[[#This Row],[Pedestrians_Killed (FARS)]]</f>
        <v>-4</v>
      </c>
      <c r="J51" s="3">
        <f>(Table1[[#This Row],[GHSA_Deaths_2023]]-Table1[[#This Row],[Pedestrians_Killed (FARS)]])/Table1[[#This Row],[Pedestrians_Killed (FARS)]]</f>
        <v>-6.7796610169491525E-2</v>
      </c>
      <c r="K51" s="3">
        <f>Table1[[#This Row],[GHSA_Deaths_2023]]/Table1[[#This Row],[Population_Actual_2023]]*100000</f>
        <v>0.93046861783116219</v>
      </c>
    </row>
    <row r="52" spans="1:11" x14ac:dyDescent="0.25">
      <c r="A52" t="s">
        <v>24</v>
      </c>
      <c r="B52">
        <v>11</v>
      </c>
      <c r="C52">
        <v>584</v>
      </c>
      <c r="D52">
        <v>1.88</v>
      </c>
      <c r="E52">
        <f>C52 * 1000</f>
        <v>584000</v>
      </c>
      <c r="F52" s="1">
        <v>8</v>
      </c>
      <c r="G52" s="1">
        <v>11</v>
      </c>
      <c r="H52" s="1">
        <v>37.5</v>
      </c>
      <c r="I52">
        <f>Table1[[#This Row],[GHSA_Deaths_2023]]-Table1[[#This Row],[Pedestrians_Killed (FARS)]]</f>
        <v>0</v>
      </c>
      <c r="J52" s="3">
        <f>(Table1[[#This Row],[GHSA_Deaths_2023]]-Table1[[#This Row],[Pedestrians_Killed (FARS)]])/Table1[[#This Row],[Pedestrians_Killed (FARS)]]</f>
        <v>0</v>
      </c>
      <c r="K52" s="3">
        <f>Table1[[#This Row],[GHSA_Deaths_2023]]/Table1[[#This Row],[Population_Actual_2023]]*100000</f>
        <v>1.8835616438356166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B4AE2-A103-4B50-871E-522FADA289D8}">
  <dimension ref="A1:S52"/>
  <sheetViews>
    <sheetView topLeftCell="C1" workbookViewId="0">
      <selection activeCell="S4" sqref="S4"/>
    </sheetView>
  </sheetViews>
  <sheetFormatPr defaultRowHeight="15" x14ac:dyDescent="0.25"/>
  <cols>
    <col min="1" max="1" width="18.7109375" bestFit="1" customWidth="1"/>
    <col min="2" max="2" width="20.28515625" bestFit="1" customWidth="1"/>
    <col min="3" max="3" width="26.85546875" bestFit="1" customWidth="1"/>
    <col min="4" max="4" width="11.5703125" bestFit="1" customWidth="1"/>
    <col min="5" max="6" width="20.85546875" bestFit="1" customWidth="1"/>
    <col min="7" max="7" width="23.140625" bestFit="1" customWidth="1"/>
    <col min="8" max="8" width="21.28515625" bestFit="1" customWidth="1"/>
    <col min="9" max="9" width="22.85546875" style="4" bestFit="1" customWidth="1"/>
    <col min="10" max="10" width="27.42578125" bestFit="1" customWidth="1"/>
    <col min="19" max="19" width="24.85546875" style="8" bestFit="1" customWidth="1"/>
  </cols>
  <sheetData>
    <row r="1" spans="1:19" x14ac:dyDescent="0.25">
      <c r="A1" t="s">
        <v>0</v>
      </c>
      <c r="B1" t="s">
        <v>62</v>
      </c>
      <c r="C1" t="s">
        <v>64</v>
      </c>
      <c r="D1" t="s">
        <v>63</v>
      </c>
      <c r="E1" t="s">
        <v>56</v>
      </c>
      <c r="F1" t="s">
        <v>57</v>
      </c>
      <c r="G1" t="s">
        <v>65</v>
      </c>
      <c r="H1" s="2" t="s">
        <v>55</v>
      </c>
      <c r="I1" s="4" t="s">
        <v>58</v>
      </c>
      <c r="J1" t="s">
        <v>59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s="7" t="s">
        <v>81</v>
      </c>
      <c r="R1" t="s">
        <v>87</v>
      </c>
      <c r="S1" s="8" t="s">
        <v>88</v>
      </c>
    </row>
    <row r="2" spans="1:19" x14ac:dyDescent="0.25">
      <c r="A2" t="s">
        <v>15</v>
      </c>
      <c r="B2">
        <v>124</v>
      </c>
      <c r="C2">
        <v>2.4300000000000002</v>
      </c>
      <c r="D2">
        <v>5108000</v>
      </c>
      <c r="E2" s="1">
        <v>111</v>
      </c>
      <c r="F2" s="1">
        <v>118</v>
      </c>
      <c r="G2" s="5">
        <f>(Table13[[#This Row],[GHSA_Deaths_2023]]-Table13[[#This Row],[GHSA_Deaths_2022]])/Table13[[#This Row],[GHSA_Deaths_2022]]</f>
        <v>6.3063063063063057E-2</v>
      </c>
      <c r="H2">
        <f>Table13[[#This Row],[GHSA_Deaths_2023]]-Table13[[#This Row],[FARS_Deaths_2023]]</f>
        <v>-6</v>
      </c>
      <c r="I2" s="4">
        <f>(Table13[[#This Row],[GHSA_Deaths_2023]]-Table13[[#This Row],[FARS_Deaths_2023]])/Table13[[#This Row],[FARS_Deaths_2023]]</f>
        <v>-4.8387096774193547E-2</v>
      </c>
      <c r="J2" s="3">
        <f>Table13[[#This Row],[GHSA_Deaths_2023]]/Table13[[#This Row],[Pop_2023]]*100000</f>
        <v>2.3101018010963195</v>
      </c>
      <c r="K2" s="6">
        <f>_xlfn.XLOOKUP($A2 &amp; "|Drove alone", Sheet3!$D:$D, Sheet3!$C:$C, "")</f>
        <v>0.80020000000000002</v>
      </c>
      <c r="L2" s="6">
        <f>_xlfn.XLOOKUP($A2 &amp; "|Public transportation", Sheet3!$D:$D, Sheet3!$C:$C, "")</f>
        <v>2.8999999999999998E-3</v>
      </c>
      <c r="M2" s="6">
        <f>_xlfn.XLOOKUP($A2 &amp; "|Walked", Sheet3!$D:$D, Sheet3!$C:$C, "")</f>
        <v>1.3100000000000001E-2</v>
      </c>
      <c r="N2" s="6">
        <f>_xlfn.XLOOKUP($A2 &amp; "|Bicycle", Sheet3!$D:$D, Sheet3!$C:$C, "")</f>
        <v>1.1000000000000001E-3</v>
      </c>
      <c r="O2" s="6">
        <f>_xlfn.XLOOKUP($A2 &amp; "|Carpool", Sheet3!$D:$D, Sheet3!$C:$C, "")</f>
        <v>8.3199999999999996E-2</v>
      </c>
      <c r="P2" s="6">
        <f>_xlfn.XLOOKUP($A2 &amp; "|Taxi, motorcycle, or other", Sheet3!$D:$D, Sheet3!$C:$C, "")</f>
        <v>1.18E-2</v>
      </c>
      <c r="Q2" s="6">
        <f>_xlfn.XLOOKUP($A2 &amp; "|Worked at home", Sheet3!$D:$D, Sheet3!$C:$C, "")</f>
        <v>8.77E-2</v>
      </c>
      <c r="R2" t="s">
        <v>83</v>
      </c>
      <c r="S2" s="8">
        <f>Table13[[#This Row],[Drive_%]]/Table13[[#This Row],[Walk_%]]</f>
        <v>61.083969465648856</v>
      </c>
    </row>
    <row r="3" spans="1:19" x14ac:dyDescent="0.25">
      <c r="A3" t="s">
        <v>28</v>
      </c>
      <c r="B3">
        <v>12</v>
      </c>
      <c r="C3">
        <v>1.64</v>
      </c>
      <c r="D3">
        <v>733000</v>
      </c>
      <c r="E3" s="1">
        <v>13</v>
      </c>
      <c r="F3" s="1">
        <v>10</v>
      </c>
      <c r="G3" s="5">
        <f>(Table13[[#This Row],[GHSA_Deaths_2023]]-Table13[[#This Row],[GHSA_Deaths_2022]])/Table13[[#This Row],[GHSA_Deaths_2022]]</f>
        <v>-0.23076923076923078</v>
      </c>
      <c r="H3">
        <f>Table13[[#This Row],[GHSA_Deaths_2023]]-Table13[[#This Row],[FARS_Deaths_2023]]</f>
        <v>-2</v>
      </c>
      <c r="I3" s="4">
        <f>(Table13[[#This Row],[GHSA_Deaths_2023]]-Table13[[#This Row],[FARS_Deaths_2023]])/Table13[[#This Row],[FARS_Deaths_2023]]</f>
        <v>-0.16666666666666666</v>
      </c>
      <c r="J3" s="3">
        <f>Table13[[#This Row],[GHSA_Deaths_2023]]/Table13[[#This Row],[Pop_2023]]*100000</f>
        <v>1.3642564802182811</v>
      </c>
      <c r="K3" s="6">
        <f>_xlfn.XLOOKUP($A3 &amp; "|Drove alone", Sheet3!$D:$D, Sheet3!$C:$C, "")</f>
        <v>0.65459999999999996</v>
      </c>
      <c r="L3" s="6">
        <f>_xlfn.XLOOKUP($A3 &amp; "|Public transportation", Sheet3!$D:$D, Sheet3!$C:$C, "")</f>
        <v>8.3999999999999995E-3</v>
      </c>
      <c r="M3" s="6">
        <f>_xlfn.XLOOKUP($A3 &amp; "|Walked", Sheet3!$D:$D, Sheet3!$C:$C, "")</f>
        <v>7.2300000000000003E-2</v>
      </c>
      <c r="N3" s="6">
        <f>_xlfn.XLOOKUP($A3 &amp; "|Bicycle", Sheet3!$D:$D, Sheet3!$C:$C, "")</f>
        <v>5.1000000000000004E-3</v>
      </c>
      <c r="O3" s="6">
        <f>_xlfn.XLOOKUP($A3 &amp; "|Carpool", Sheet3!$D:$D, Sheet3!$C:$C, "")</f>
        <v>0.11559999999999999</v>
      </c>
      <c r="P3" s="6">
        <f>_xlfn.XLOOKUP($A3 &amp; "|Taxi, motorcycle, or other", Sheet3!$D:$D, Sheet3!$C:$C, "")</f>
        <v>5.3999999999999999E-2</v>
      </c>
      <c r="Q3" s="6">
        <f>_xlfn.XLOOKUP($A3 &amp; "|Worked at home", Sheet3!$D:$D, Sheet3!$C:$C, "")</f>
        <v>0.09</v>
      </c>
      <c r="R3" t="s">
        <v>84</v>
      </c>
      <c r="S3" s="8">
        <f>Table13[[#This Row],[Drive_%]]/Table13[[#This Row],[Walk_%]]</f>
        <v>9.0539419087136928</v>
      </c>
    </row>
    <row r="4" spans="1:19" x14ac:dyDescent="0.25">
      <c r="A4" t="s">
        <v>2</v>
      </c>
      <c r="B4">
        <v>271</v>
      </c>
      <c r="C4">
        <v>3.65</v>
      </c>
      <c r="D4">
        <v>7431000</v>
      </c>
      <c r="E4" s="1">
        <v>312</v>
      </c>
      <c r="F4" s="1">
        <v>220</v>
      </c>
      <c r="G4" s="5">
        <f>(Table13[[#This Row],[GHSA_Deaths_2023]]-Table13[[#This Row],[GHSA_Deaths_2022]])/Table13[[#This Row],[GHSA_Deaths_2022]]</f>
        <v>-0.29487179487179488</v>
      </c>
      <c r="H4">
        <f>Table13[[#This Row],[GHSA_Deaths_2023]]-Table13[[#This Row],[FARS_Deaths_2023]]</f>
        <v>-51</v>
      </c>
      <c r="I4" s="4">
        <f>(Table13[[#This Row],[GHSA_Deaths_2023]]-Table13[[#This Row],[FARS_Deaths_2023]])/Table13[[#This Row],[FARS_Deaths_2023]]</f>
        <v>-0.18819188191881919</v>
      </c>
      <c r="J4" s="3">
        <f>Table13[[#This Row],[GHSA_Deaths_2023]]/Table13[[#This Row],[Pop_2023]]*100000</f>
        <v>2.9605705826941189</v>
      </c>
      <c r="K4" s="6">
        <f>_xlfn.XLOOKUP($A4 &amp; "|Drove alone", Sheet3!$D:$D, Sheet3!$C:$C, "")</f>
        <v>0.67049999999999998</v>
      </c>
      <c r="L4" s="6">
        <f>_xlfn.XLOOKUP($A4 &amp; "|Public transportation", Sheet3!$D:$D, Sheet3!$C:$C, "")</f>
        <v>1.21E-2</v>
      </c>
      <c r="M4" s="6">
        <f>_xlfn.XLOOKUP($A4 &amp; "|Walked", Sheet3!$D:$D, Sheet3!$C:$C, "")</f>
        <v>1.66E-2</v>
      </c>
      <c r="N4" s="6">
        <f>_xlfn.XLOOKUP($A4 &amp; "|Bicycle", Sheet3!$D:$D, Sheet3!$C:$C, "")</f>
        <v>5.4999999999999997E-3</v>
      </c>
      <c r="O4" s="6">
        <f>_xlfn.XLOOKUP($A4 &amp; "|Carpool", Sheet3!$D:$D, Sheet3!$C:$C, "")</f>
        <v>0.10290000000000001</v>
      </c>
      <c r="P4" s="6">
        <f>_xlfn.XLOOKUP($A4 &amp; "|Taxi, motorcycle, or other", Sheet3!$D:$D, Sheet3!$C:$C, "")</f>
        <v>1.7500000000000002E-2</v>
      </c>
      <c r="Q4" s="6">
        <f>_xlfn.XLOOKUP($A4 &amp; "|Worked at home", Sheet3!$D:$D, Sheet3!$C:$C, "")</f>
        <v>0.17480000000000001</v>
      </c>
      <c r="R4" t="s">
        <v>84</v>
      </c>
      <c r="S4" s="8">
        <f>Table13[[#This Row],[Drive_%]]/Table13[[#This Row],[Walk_%]]</f>
        <v>40.391566265060241</v>
      </c>
    </row>
    <row r="5" spans="1:19" x14ac:dyDescent="0.25">
      <c r="A5" t="s">
        <v>16</v>
      </c>
      <c r="B5">
        <v>74</v>
      </c>
      <c r="C5">
        <v>2.41</v>
      </c>
      <c r="D5">
        <v>3068000</v>
      </c>
      <c r="E5" s="1">
        <v>77</v>
      </c>
      <c r="F5" s="1">
        <v>68</v>
      </c>
      <c r="G5" s="5">
        <f>(Table13[[#This Row],[GHSA_Deaths_2023]]-Table13[[#This Row],[GHSA_Deaths_2022]])/Table13[[#This Row],[GHSA_Deaths_2022]]</f>
        <v>-0.11688311688311688</v>
      </c>
      <c r="H5">
        <f>Table13[[#This Row],[GHSA_Deaths_2023]]-Table13[[#This Row],[FARS_Deaths_2023]]</f>
        <v>-6</v>
      </c>
      <c r="I5" s="4">
        <f>(Table13[[#This Row],[GHSA_Deaths_2023]]-Table13[[#This Row],[FARS_Deaths_2023]])/Table13[[#This Row],[FARS_Deaths_2023]]</f>
        <v>-8.1081081081081086E-2</v>
      </c>
      <c r="J5" s="3">
        <f>Table13[[#This Row],[GHSA_Deaths_2023]]/Table13[[#This Row],[Pop_2023]]*100000</f>
        <v>2.2164276401564535</v>
      </c>
      <c r="K5" s="6">
        <f>_xlfn.XLOOKUP($A5 &amp; "|Drove alone", Sheet3!$D:$D, Sheet3!$C:$C, "")</f>
        <v>0.78290000000000004</v>
      </c>
      <c r="L5" s="6">
        <f>_xlfn.XLOOKUP($A5 &amp; "|Public transportation", Sheet3!$D:$D, Sheet3!$C:$C, "")</f>
        <v>3.3E-3</v>
      </c>
      <c r="M5" s="6">
        <f>_xlfn.XLOOKUP($A5 &amp; "|Walked", Sheet3!$D:$D, Sheet3!$C:$C, "")</f>
        <v>1.5599999999999999E-2</v>
      </c>
      <c r="N5" s="6">
        <f>_xlfn.XLOOKUP($A5 &amp; "|Bicycle", Sheet3!$D:$D, Sheet3!$C:$C, "")</f>
        <v>1.6000000000000001E-3</v>
      </c>
      <c r="O5" s="6">
        <f>_xlfn.XLOOKUP($A5 &amp; "|Carpool", Sheet3!$D:$D, Sheet3!$C:$C, "")</f>
        <v>9.9199999999999997E-2</v>
      </c>
      <c r="P5" s="6">
        <f>_xlfn.XLOOKUP($A5 &amp; "|Taxi, motorcycle, or other", Sheet3!$D:$D, Sheet3!$C:$C, "")</f>
        <v>1.0500000000000001E-2</v>
      </c>
      <c r="Q5" s="6">
        <f>_xlfn.XLOOKUP($A5 &amp; "|Worked at home", Sheet3!$D:$D, Sheet3!$C:$C, "")</f>
        <v>8.6900000000000005E-2</v>
      </c>
      <c r="R5" t="s">
        <v>83</v>
      </c>
      <c r="S5" s="8">
        <f>Table13[[#This Row],[Drive_%]]/Table13[[#This Row],[Walk_%]]</f>
        <v>50.185897435897438</v>
      </c>
    </row>
    <row r="6" spans="1:19" x14ac:dyDescent="0.25">
      <c r="A6" t="s">
        <v>8</v>
      </c>
      <c r="B6">
        <v>1106</v>
      </c>
      <c r="C6">
        <v>2.84</v>
      </c>
      <c r="D6">
        <v>38965000</v>
      </c>
      <c r="E6" s="1">
        <v>1208</v>
      </c>
      <c r="F6" s="1">
        <v>1057</v>
      </c>
      <c r="G6" s="5">
        <f>(Table13[[#This Row],[GHSA_Deaths_2023]]-Table13[[#This Row],[GHSA_Deaths_2022]])/Table13[[#This Row],[GHSA_Deaths_2022]]</f>
        <v>-0.125</v>
      </c>
      <c r="H6">
        <f>Table13[[#This Row],[GHSA_Deaths_2023]]-Table13[[#This Row],[FARS_Deaths_2023]]</f>
        <v>-49</v>
      </c>
      <c r="I6" s="4">
        <f>(Table13[[#This Row],[GHSA_Deaths_2023]]-Table13[[#This Row],[FARS_Deaths_2023]])/Table13[[#This Row],[FARS_Deaths_2023]]</f>
        <v>-4.4303797468354431E-2</v>
      </c>
      <c r="J6" s="3">
        <f>Table13[[#This Row],[GHSA_Deaths_2023]]/Table13[[#This Row],[Pop_2023]]*100000</f>
        <v>2.7126908764275632</v>
      </c>
      <c r="K6" s="6">
        <f>_xlfn.XLOOKUP($A6 &amp; "|Drove alone", Sheet3!$D:$D, Sheet3!$C:$C, "")</f>
        <v>0.67069999999999996</v>
      </c>
      <c r="L6" s="6">
        <f>_xlfn.XLOOKUP($A6 &amp; "|Public transportation", Sheet3!$D:$D, Sheet3!$C:$C, "")</f>
        <v>3.0800000000000001E-2</v>
      </c>
      <c r="M6" s="6">
        <f>_xlfn.XLOOKUP($A6 &amp; "|Walked", Sheet3!$D:$D, Sheet3!$C:$C, "")</f>
        <v>2.5399999999999999E-2</v>
      </c>
      <c r="N6" s="6">
        <f>_xlfn.XLOOKUP($A6 &amp; "|Bicycle", Sheet3!$D:$D, Sheet3!$C:$C, "")</f>
        <v>7.6E-3</v>
      </c>
      <c r="O6" s="6">
        <f>_xlfn.XLOOKUP($A6 &amp; "|Carpool", Sheet3!$D:$D, Sheet3!$C:$C, "")</f>
        <v>0.1018</v>
      </c>
      <c r="P6" s="6">
        <f>_xlfn.XLOOKUP($A6 &amp; "|Taxi, motorcycle, or other", Sheet3!$D:$D, Sheet3!$C:$C, "")</f>
        <v>1.7299999999999999E-2</v>
      </c>
      <c r="Q6" s="6">
        <f>_xlfn.XLOOKUP($A6 &amp; "|Worked at home", Sheet3!$D:$D, Sheet3!$C:$C, "")</f>
        <v>0.14649999999999999</v>
      </c>
      <c r="R6" t="s">
        <v>84</v>
      </c>
      <c r="S6" s="8">
        <f>Table13[[#This Row],[Drive_%]]/Table13[[#This Row],[Walk_%]]</f>
        <v>26.405511811023622</v>
      </c>
    </row>
    <row r="7" spans="1:19" x14ac:dyDescent="0.25">
      <c r="A7" t="s">
        <v>19</v>
      </c>
      <c r="B7">
        <v>125</v>
      </c>
      <c r="C7">
        <v>2.13</v>
      </c>
      <c r="D7">
        <v>5878000</v>
      </c>
      <c r="E7" s="1">
        <v>107</v>
      </c>
      <c r="F7" s="1">
        <v>136</v>
      </c>
      <c r="G7" s="5">
        <f>(Table13[[#This Row],[GHSA_Deaths_2023]]-Table13[[#This Row],[GHSA_Deaths_2022]])/Table13[[#This Row],[GHSA_Deaths_2022]]</f>
        <v>0.27102803738317754</v>
      </c>
      <c r="H7">
        <f>Table13[[#This Row],[GHSA_Deaths_2023]]-Table13[[#This Row],[FARS_Deaths_2023]]</f>
        <v>11</v>
      </c>
      <c r="I7" s="4">
        <f>(Table13[[#This Row],[GHSA_Deaths_2023]]-Table13[[#This Row],[FARS_Deaths_2023]])/Table13[[#This Row],[FARS_Deaths_2023]]</f>
        <v>8.7999999999999995E-2</v>
      </c>
      <c r="J7" s="3">
        <f>Table13[[#This Row],[GHSA_Deaths_2023]]/Table13[[#This Row],[Pop_2023]]*100000</f>
        <v>2.3137121469887716</v>
      </c>
      <c r="K7" s="6">
        <f>_xlfn.XLOOKUP($A7 &amp; "|Drove alone", Sheet3!$D:$D, Sheet3!$C:$C, "")</f>
        <v>0.66010000000000002</v>
      </c>
      <c r="L7" s="6">
        <f>_xlfn.XLOOKUP($A7 &amp; "|Public transportation", Sheet3!$D:$D, Sheet3!$C:$C, "")</f>
        <v>1.6500000000000001E-2</v>
      </c>
      <c r="M7" s="6">
        <f>_xlfn.XLOOKUP($A7 &amp; "|Walked", Sheet3!$D:$D, Sheet3!$C:$C, "")</f>
        <v>2.4400000000000002E-2</v>
      </c>
      <c r="N7" s="6">
        <f>_xlfn.XLOOKUP($A7 &amp; "|Bicycle", Sheet3!$D:$D, Sheet3!$C:$C, "")</f>
        <v>8.3999999999999995E-3</v>
      </c>
      <c r="O7" s="6">
        <f>_xlfn.XLOOKUP($A7 &amp; "|Carpool", Sheet3!$D:$D, Sheet3!$C:$C, "")</f>
        <v>7.8899999999999998E-2</v>
      </c>
      <c r="P7" s="6">
        <f>_xlfn.XLOOKUP($A7 &amp; "|Taxi, motorcycle, or other", Sheet3!$D:$D, Sheet3!$C:$C, "")</f>
        <v>1.32E-2</v>
      </c>
      <c r="Q7" s="6">
        <f>_xlfn.XLOOKUP($A7 &amp; "|Worked at home", Sheet3!$D:$D, Sheet3!$C:$C, "")</f>
        <v>0.19869999999999999</v>
      </c>
      <c r="R7" t="s">
        <v>84</v>
      </c>
      <c r="S7" s="8">
        <f>Table13[[#This Row],[Drive_%]]/Table13[[#This Row],[Walk_%]]</f>
        <v>27.053278688524589</v>
      </c>
    </row>
    <row r="8" spans="1:19" x14ac:dyDescent="0.25">
      <c r="A8" t="s">
        <v>38</v>
      </c>
      <c r="B8">
        <v>47</v>
      </c>
      <c r="C8">
        <v>1.3</v>
      </c>
      <c r="D8">
        <v>3617000</v>
      </c>
      <c r="E8" s="1">
        <v>73</v>
      </c>
      <c r="F8" s="1">
        <v>48</v>
      </c>
      <c r="G8" s="5">
        <f>(Table13[[#This Row],[GHSA_Deaths_2023]]-Table13[[#This Row],[GHSA_Deaths_2022]])/Table13[[#This Row],[GHSA_Deaths_2022]]</f>
        <v>-0.34246575342465752</v>
      </c>
      <c r="H8">
        <f>Table13[[#This Row],[GHSA_Deaths_2023]]-Table13[[#This Row],[FARS_Deaths_2023]]</f>
        <v>1</v>
      </c>
      <c r="I8" s="4">
        <f>(Table13[[#This Row],[GHSA_Deaths_2023]]-Table13[[#This Row],[FARS_Deaths_2023]])/Table13[[#This Row],[FARS_Deaths_2023]]</f>
        <v>2.1276595744680851E-2</v>
      </c>
      <c r="J8" s="3">
        <f>Table13[[#This Row],[GHSA_Deaths_2023]]/Table13[[#This Row],[Pop_2023]]*100000</f>
        <v>1.3270666298037046</v>
      </c>
      <c r="K8" s="6">
        <f>_xlfn.XLOOKUP($A8 &amp; "|Drove alone", Sheet3!$D:$D, Sheet3!$C:$C, "")</f>
        <v>0.6986</v>
      </c>
      <c r="L8" s="6">
        <f>_xlfn.XLOOKUP($A8 &amp; "|Public transportation", Sheet3!$D:$D, Sheet3!$C:$C, "")</f>
        <v>3.7400000000000003E-2</v>
      </c>
      <c r="M8" s="6">
        <f>_xlfn.XLOOKUP($A8 &amp; "|Walked", Sheet3!$D:$D, Sheet3!$C:$C, "")</f>
        <v>2.23E-2</v>
      </c>
      <c r="N8" s="6">
        <f>_xlfn.XLOOKUP($A8 &amp; "|Bicycle", Sheet3!$D:$D, Sheet3!$C:$C, "")</f>
        <v>1.9E-3</v>
      </c>
      <c r="O8" s="6">
        <f>_xlfn.XLOOKUP($A8 &amp; "|Carpool", Sheet3!$D:$D, Sheet3!$C:$C, "")</f>
        <v>8.3199999999999996E-2</v>
      </c>
      <c r="P8" s="6">
        <f>_xlfn.XLOOKUP($A8 &amp; "|Taxi, motorcycle, or other", Sheet3!$D:$D, Sheet3!$C:$C, "")</f>
        <v>1.3899999999999999E-2</v>
      </c>
      <c r="Q8" s="6">
        <f>_xlfn.XLOOKUP($A8 &amp; "|Worked at home", Sheet3!$D:$D, Sheet3!$C:$C, "")</f>
        <v>0.14269999999999999</v>
      </c>
      <c r="R8" t="s">
        <v>85</v>
      </c>
      <c r="S8" s="8">
        <f>Table13[[#This Row],[Drive_%]]/Table13[[#This Row],[Walk_%]]</f>
        <v>31.327354260089685</v>
      </c>
    </row>
    <row r="9" spans="1:19" x14ac:dyDescent="0.25">
      <c r="A9" t="s">
        <v>12</v>
      </c>
      <c r="B9">
        <v>27</v>
      </c>
      <c r="C9">
        <v>2.62</v>
      </c>
      <c r="D9">
        <v>1032000</v>
      </c>
      <c r="E9" s="1">
        <v>33</v>
      </c>
      <c r="F9" s="1">
        <v>28</v>
      </c>
      <c r="G9" s="5">
        <f>(Table13[[#This Row],[GHSA_Deaths_2023]]-Table13[[#This Row],[GHSA_Deaths_2022]])/Table13[[#This Row],[GHSA_Deaths_2022]]</f>
        <v>-0.15151515151515152</v>
      </c>
      <c r="H9">
        <f>Table13[[#This Row],[GHSA_Deaths_2023]]-Table13[[#This Row],[FARS_Deaths_2023]]</f>
        <v>1</v>
      </c>
      <c r="I9" s="4">
        <f>(Table13[[#This Row],[GHSA_Deaths_2023]]-Table13[[#This Row],[FARS_Deaths_2023]])/Table13[[#This Row],[FARS_Deaths_2023]]</f>
        <v>3.7037037037037035E-2</v>
      </c>
      <c r="J9" s="3">
        <f>Table13[[#This Row],[GHSA_Deaths_2023]]/Table13[[#This Row],[Pop_2023]]*100000</f>
        <v>2.7131782945736433</v>
      </c>
      <c r="K9" s="6">
        <f>_xlfn.XLOOKUP($A9 &amp; "|Drove alone", Sheet3!$D:$D, Sheet3!$C:$C, "")</f>
        <v>0.72119999999999995</v>
      </c>
      <c r="L9" s="6">
        <f>_xlfn.XLOOKUP($A9 &amp; "|Public transportation", Sheet3!$D:$D, Sheet3!$C:$C, "")</f>
        <v>2.3300000000000001E-2</v>
      </c>
      <c r="M9" s="6">
        <f>_xlfn.XLOOKUP($A9 &amp; "|Walked", Sheet3!$D:$D, Sheet3!$C:$C, "")</f>
        <v>2.07E-2</v>
      </c>
      <c r="N9" s="6">
        <f>_xlfn.XLOOKUP($A9 &amp; "|Bicycle", Sheet3!$D:$D, Sheet3!$C:$C, "")</f>
        <v>2.5000000000000001E-3</v>
      </c>
      <c r="O9" s="6">
        <f>_xlfn.XLOOKUP($A9 &amp; "|Carpool", Sheet3!$D:$D, Sheet3!$C:$C, "")</f>
        <v>8.2299999999999998E-2</v>
      </c>
      <c r="P9" s="6">
        <f>_xlfn.XLOOKUP($A9 &amp; "|Taxi, motorcycle, or other", Sheet3!$D:$D, Sheet3!$C:$C, "")</f>
        <v>1.3599999999999999E-2</v>
      </c>
      <c r="Q9" s="6">
        <f>_xlfn.XLOOKUP($A9 &amp; "|Worked at home", Sheet3!$D:$D, Sheet3!$C:$C, "")</f>
        <v>0.13639999999999999</v>
      </c>
      <c r="R9" t="s">
        <v>85</v>
      </c>
      <c r="S9" s="8">
        <f>Table13[[#This Row],[Drive_%]]/Table13[[#This Row],[Walk_%]]</f>
        <v>34.840579710144922</v>
      </c>
    </row>
    <row r="10" spans="1:19" x14ac:dyDescent="0.25">
      <c r="A10" t="s">
        <v>21</v>
      </c>
      <c r="B10">
        <v>14</v>
      </c>
      <c r="C10">
        <v>2.06</v>
      </c>
      <c r="D10">
        <v>679000</v>
      </c>
      <c r="E10" s="1">
        <v>19</v>
      </c>
      <c r="F10" s="1">
        <v>20</v>
      </c>
      <c r="G10" s="5">
        <f>(Table13[[#This Row],[GHSA_Deaths_2023]]-Table13[[#This Row],[GHSA_Deaths_2022]])/Table13[[#This Row],[GHSA_Deaths_2022]]</f>
        <v>5.2631578947368418E-2</v>
      </c>
      <c r="H10">
        <f>Table13[[#This Row],[GHSA_Deaths_2023]]-Table13[[#This Row],[FARS_Deaths_2023]]</f>
        <v>6</v>
      </c>
      <c r="I10" s="4">
        <f>(Table13[[#This Row],[GHSA_Deaths_2023]]-Table13[[#This Row],[FARS_Deaths_2023]])/Table13[[#This Row],[FARS_Deaths_2023]]</f>
        <v>0.42857142857142855</v>
      </c>
      <c r="J10" s="3">
        <f>Table13[[#This Row],[GHSA_Deaths_2023]]/Table13[[#This Row],[Pop_2023]]*100000</f>
        <v>2.9455081001472752</v>
      </c>
      <c r="K10" s="6">
        <f>_xlfn.XLOOKUP($A10 &amp; "|Drove alone", Sheet3!$D:$D, Sheet3!$C:$C, "")</f>
        <v>0.2858</v>
      </c>
      <c r="L10" s="6">
        <f>_xlfn.XLOOKUP($A10 &amp; "|Public transportation", Sheet3!$D:$D, Sheet3!$C:$C, "")</f>
        <v>0.22900000000000001</v>
      </c>
      <c r="M10" s="6">
        <f>_xlfn.XLOOKUP($A10 &amp; "|Walked", Sheet3!$D:$D, Sheet3!$C:$C, "")</f>
        <v>0.1128</v>
      </c>
      <c r="N10" s="6">
        <f>_xlfn.XLOOKUP($A10 &amp; "|Bicycle", Sheet3!$D:$D, Sheet3!$C:$C, "")</f>
        <v>3.4599999999999999E-2</v>
      </c>
      <c r="O10" s="6">
        <f>_xlfn.XLOOKUP($A10 &amp; "|Carpool", Sheet3!$D:$D, Sheet3!$C:$C, "")</f>
        <v>4.1500000000000002E-2</v>
      </c>
      <c r="P10" s="6">
        <f>_xlfn.XLOOKUP($A10 &amp; "|Taxi, motorcycle, or other", Sheet3!$D:$D, Sheet3!$C:$C, "")</f>
        <v>2.3400000000000001E-2</v>
      </c>
      <c r="Q10" s="6">
        <f>_xlfn.XLOOKUP($A10 &amp; "|Worked at home", Sheet3!$D:$D, Sheet3!$C:$C, "")</f>
        <v>0.27279999999999999</v>
      </c>
      <c r="R10" t="s">
        <v>85</v>
      </c>
      <c r="S10" s="8">
        <f>Table13[[#This Row],[Drive_%]]/Table13[[#This Row],[Walk_%]]</f>
        <v>2.5336879432624113</v>
      </c>
    </row>
    <row r="11" spans="1:19" x14ac:dyDescent="0.25">
      <c r="A11" t="s">
        <v>4</v>
      </c>
      <c r="B11">
        <v>771</v>
      </c>
      <c r="C11">
        <v>3.41</v>
      </c>
      <c r="D11">
        <v>22611000</v>
      </c>
      <c r="E11" s="1">
        <v>780</v>
      </c>
      <c r="F11" s="1">
        <v>801</v>
      </c>
      <c r="G11" s="5">
        <f>(Table13[[#This Row],[GHSA_Deaths_2023]]-Table13[[#This Row],[GHSA_Deaths_2022]])/Table13[[#This Row],[GHSA_Deaths_2022]]</f>
        <v>2.6923076923076925E-2</v>
      </c>
      <c r="H11">
        <f>Table13[[#This Row],[GHSA_Deaths_2023]]-Table13[[#This Row],[FARS_Deaths_2023]]</f>
        <v>30</v>
      </c>
      <c r="I11" s="4">
        <f>(Table13[[#This Row],[GHSA_Deaths_2023]]-Table13[[#This Row],[FARS_Deaths_2023]])/Table13[[#This Row],[FARS_Deaths_2023]]</f>
        <v>3.8910505836575876E-2</v>
      </c>
      <c r="J11" s="3">
        <f>Table13[[#This Row],[GHSA_Deaths_2023]]/Table13[[#This Row],[Pop_2023]]*100000</f>
        <v>3.5425235504842774</v>
      </c>
      <c r="K11" s="6">
        <f>_xlfn.XLOOKUP($A11 &amp; "|Drove alone", Sheet3!$D:$D, Sheet3!$C:$C, "")</f>
        <v>0.6915</v>
      </c>
      <c r="L11" s="6">
        <f>_xlfn.XLOOKUP($A11 &amp; "|Public transportation", Sheet3!$D:$D, Sheet3!$C:$C, "")</f>
        <v>1.3599999999999999E-2</v>
      </c>
      <c r="M11" s="6">
        <f>_xlfn.XLOOKUP($A11 &amp; "|Walked", Sheet3!$D:$D, Sheet3!$C:$C, "")</f>
        <v>1.5100000000000001E-2</v>
      </c>
      <c r="N11" s="6">
        <f>_xlfn.XLOOKUP($A11 &amp; "|Bicycle", Sheet3!$D:$D, Sheet3!$C:$C, "")</f>
        <v>4.8999999999999998E-3</v>
      </c>
      <c r="O11" s="6">
        <f>_xlfn.XLOOKUP($A11 &amp; "|Carpool", Sheet3!$D:$D, Sheet3!$C:$C, "")</f>
        <v>9.7100000000000006E-2</v>
      </c>
      <c r="P11" s="6">
        <f>_xlfn.XLOOKUP($A11 &amp; "|Taxi, motorcycle, or other", Sheet3!$D:$D, Sheet3!$C:$C, "")</f>
        <v>0.02</v>
      </c>
      <c r="Q11" s="6">
        <f>_xlfn.XLOOKUP($A11 &amp; "|Worked at home", Sheet3!$D:$D, Sheet3!$C:$C, "")</f>
        <v>0.15770000000000001</v>
      </c>
      <c r="R11" t="s">
        <v>83</v>
      </c>
      <c r="S11" s="8">
        <f>Table13[[#This Row],[Drive_%]]/Table13[[#This Row],[Walk_%]]</f>
        <v>45.794701986754966</v>
      </c>
    </row>
    <row r="12" spans="1:19" x14ac:dyDescent="0.25">
      <c r="A12" t="s">
        <v>9</v>
      </c>
      <c r="B12">
        <v>310</v>
      </c>
      <c r="C12">
        <v>2.81</v>
      </c>
      <c r="D12">
        <v>11029000</v>
      </c>
      <c r="E12" s="1">
        <v>335</v>
      </c>
      <c r="F12" s="1">
        <v>321</v>
      </c>
      <c r="G12" s="5">
        <f>(Table13[[#This Row],[GHSA_Deaths_2023]]-Table13[[#This Row],[GHSA_Deaths_2022]])/Table13[[#This Row],[GHSA_Deaths_2022]]</f>
        <v>-4.1791044776119404E-2</v>
      </c>
      <c r="H12">
        <f>Table13[[#This Row],[GHSA_Deaths_2023]]-Table13[[#This Row],[FARS_Deaths_2023]]</f>
        <v>11</v>
      </c>
      <c r="I12" s="4">
        <f>(Table13[[#This Row],[GHSA_Deaths_2023]]-Table13[[#This Row],[FARS_Deaths_2023]])/Table13[[#This Row],[FARS_Deaths_2023]]</f>
        <v>3.5483870967741936E-2</v>
      </c>
      <c r="J12" s="3">
        <f>Table13[[#This Row],[GHSA_Deaths_2023]]/Table13[[#This Row],[Pop_2023]]*100000</f>
        <v>2.9105086589899356</v>
      </c>
      <c r="K12" s="6">
        <f>_xlfn.XLOOKUP($A12 &amp; "|Drove alone", Sheet3!$D:$D, Sheet3!$C:$C, "")</f>
        <v>0.70799999999999996</v>
      </c>
      <c r="L12" s="6">
        <f>_xlfn.XLOOKUP($A12 &amp; "|Public transportation", Sheet3!$D:$D, Sheet3!$C:$C, "")</f>
        <v>1.14E-2</v>
      </c>
      <c r="M12" s="6">
        <f>_xlfn.XLOOKUP($A12 &amp; "|Walked", Sheet3!$D:$D, Sheet3!$C:$C, "")</f>
        <v>1.3899999999999999E-2</v>
      </c>
      <c r="N12" s="6">
        <f>_xlfn.XLOOKUP($A12 &amp; "|Bicycle", Sheet3!$D:$D, Sheet3!$C:$C, "")</f>
        <v>2E-3</v>
      </c>
      <c r="O12" s="6">
        <f>_xlfn.XLOOKUP($A12 &amp; "|Carpool", Sheet3!$D:$D, Sheet3!$C:$C, "")</f>
        <v>9.4600000000000004E-2</v>
      </c>
      <c r="P12" s="6">
        <f>_xlfn.XLOOKUP($A12 &amp; "|Taxi, motorcycle, or other", Sheet3!$D:$D, Sheet3!$C:$C, "")</f>
        <v>1.8100000000000002E-2</v>
      </c>
      <c r="Q12" s="6">
        <f>_xlfn.XLOOKUP($A12 &amp; "|Worked at home", Sheet3!$D:$D, Sheet3!$C:$C, "")</f>
        <v>0.15210000000000001</v>
      </c>
      <c r="R12" t="s">
        <v>83</v>
      </c>
      <c r="S12" s="8">
        <f>Table13[[#This Row],[Drive_%]]/Table13[[#This Row],[Walk_%]]</f>
        <v>50.935251798561154</v>
      </c>
    </row>
    <row r="13" spans="1:19" x14ac:dyDescent="0.25">
      <c r="A13" t="s">
        <v>32</v>
      </c>
      <c r="B13">
        <v>22</v>
      </c>
      <c r="C13">
        <v>1.53</v>
      </c>
      <c r="D13">
        <v>1435000</v>
      </c>
      <c r="E13" s="1">
        <v>28</v>
      </c>
      <c r="F13" s="1">
        <v>22</v>
      </c>
      <c r="G13" s="5">
        <f>(Table13[[#This Row],[GHSA_Deaths_2023]]-Table13[[#This Row],[GHSA_Deaths_2022]])/Table13[[#This Row],[GHSA_Deaths_2022]]</f>
        <v>-0.21428571428571427</v>
      </c>
      <c r="H13">
        <f>Table13[[#This Row],[GHSA_Deaths_2023]]-Table13[[#This Row],[FARS_Deaths_2023]]</f>
        <v>0</v>
      </c>
      <c r="I13" s="4">
        <f>(Table13[[#This Row],[GHSA_Deaths_2023]]-Table13[[#This Row],[FARS_Deaths_2023]])/Table13[[#This Row],[FARS_Deaths_2023]]</f>
        <v>0</v>
      </c>
      <c r="J13" s="3">
        <f>Table13[[#This Row],[GHSA_Deaths_2023]]/Table13[[#This Row],[Pop_2023]]*100000</f>
        <v>1.5331010452961673</v>
      </c>
      <c r="K13" s="6">
        <f>_xlfn.XLOOKUP($A13 &amp; "|Drove alone", Sheet3!$D:$D, Sheet3!$C:$C, "")</f>
        <v>0.64180000000000004</v>
      </c>
      <c r="L13" s="6">
        <f>_xlfn.XLOOKUP($A13 &amp; "|Public transportation", Sheet3!$D:$D, Sheet3!$C:$C, "")</f>
        <v>4.1300000000000003E-2</v>
      </c>
      <c r="M13" s="6">
        <f>_xlfn.XLOOKUP($A13 &amp; "|Walked", Sheet3!$D:$D, Sheet3!$C:$C, "")</f>
        <v>3.8800000000000001E-2</v>
      </c>
      <c r="N13" s="6">
        <f>_xlfn.XLOOKUP($A13 &amp; "|Bicycle", Sheet3!$D:$D, Sheet3!$C:$C, "")</f>
        <v>8.5000000000000006E-3</v>
      </c>
      <c r="O13" s="6">
        <f>_xlfn.XLOOKUP($A13 &amp; "|Carpool", Sheet3!$D:$D, Sheet3!$C:$C, "")</f>
        <v>0.15840000000000001</v>
      </c>
      <c r="P13" s="6">
        <f>_xlfn.XLOOKUP($A13 &amp; "|Taxi, motorcycle, or other", Sheet3!$D:$D, Sheet3!$C:$C, "")</f>
        <v>2.4500000000000001E-2</v>
      </c>
      <c r="Q13" s="6">
        <f>_xlfn.XLOOKUP($A13 &amp; "|Worked at home", Sheet3!$D:$D, Sheet3!$C:$C, "")</f>
        <v>8.6699999999999999E-2</v>
      </c>
      <c r="R13" t="s">
        <v>84</v>
      </c>
      <c r="S13" s="8">
        <f>Table13[[#This Row],[Drive_%]]/Table13[[#This Row],[Walk_%]]</f>
        <v>16.541237113402062</v>
      </c>
    </row>
    <row r="14" spans="1:19" x14ac:dyDescent="0.25">
      <c r="A14" t="s">
        <v>31</v>
      </c>
      <c r="B14">
        <v>31</v>
      </c>
      <c r="C14">
        <v>1.58</v>
      </c>
      <c r="D14">
        <v>1965000</v>
      </c>
      <c r="E14" s="1">
        <v>16</v>
      </c>
      <c r="F14" s="1">
        <v>36</v>
      </c>
      <c r="G14" s="5">
        <f>(Table13[[#This Row],[GHSA_Deaths_2023]]-Table13[[#This Row],[GHSA_Deaths_2022]])/Table13[[#This Row],[GHSA_Deaths_2022]]</f>
        <v>1.25</v>
      </c>
      <c r="H14">
        <f>Table13[[#This Row],[GHSA_Deaths_2023]]-Table13[[#This Row],[FARS_Deaths_2023]]</f>
        <v>5</v>
      </c>
      <c r="I14" s="4">
        <f>(Table13[[#This Row],[GHSA_Deaths_2023]]-Table13[[#This Row],[FARS_Deaths_2023]])/Table13[[#This Row],[FARS_Deaths_2023]]</f>
        <v>0.16129032258064516</v>
      </c>
      <c r="J14" s="3">
        <f>Table13[[#This Row],[GHSA_Deaths_2023]]/Table13[[#This Row],[Pop_2023]]*100000</f>
        <v>1.83206106870229</v>
      </c>
      <c r="K14" s="6">
        <f>_xlfn.XLOOKUP($A14 &amp; "|Drove alone", Sheet3!$D:$D, Sheet3!$C:$C, "")</f>
        <v>0.7097</v>
      </c>
      <c r="L14" s="6">
        <f>_xlfn.XLOOKUP($A14 &amp; "|Public transportation", Sheet3!$D:$D, Sheet3!$C:$C, "")</f>
        <v>6.1000000000000004E-3</v>
      </c>
      <c r="M14" s="6">
        <f>_xlfn.XLOOKUP($A14 &amp; "|Walked", Sheet3!$D:$D, Sheet3!$C:$C, "")</f>
        <v>2.76E-2</v>
      </c>
      <c r="N14" s="6">
        <f>_xlfn.XLOOKUP($A14 &amp; "|Bicycle", Sheet3!$D:$D, Sheet3!$C:$C, "")</f>
        <v>7.9000000000000008E-3</v>
      </c>
      <c r="O14" s="6">
        <f>_xlfn.XLOOKUP($A14 &amp; "|Carpool", Sheet3!$D:$D, Sheet3!$C:$C, "")</f>
        <v>0.1021</v>
      </c>
      <c r="P14" s="6">
        <f>_xlfn.XLOOKUP($A14 &amp; "|Taxi, motorcycle, or other", Sheet3!$D:$D, Sheet3!$C:$C, "")</f>
        <v>1.1299999999999999E-2</v>
      </c>
      <c r="Q14" s="6">
        <f>_xlfn.XLOOKUP($A14 &amp; "|Worked at home", Sheet3!$D:$D, Sheet3!$C:$C, "")</f>
        <v>0.1353</v>
      </c>
      <c r="R14" t="s">
        <v>84</v>
      </c>
      <c r="S14" s="8">
        <f>Table13[[#This Row],[Drive_%]]/Table13[[#This Row],[Walk_%]]</f>
        <v>25.713768115942031</v>
      </c>
    </row>
    <row r="15" spans="1:19" x14ac:dyDescent="0.25">
      <c r="A15" t="s">
        <v>30</v>
      </c>
      <c r="B15">
        <v>199</v>
      </c>
      <c r="C15">
        <v>1.59</v>
      </c>
      <c r="D15">
        <v>12550000</v>
      </c>
      <c r="E15" s="1">
        <v>197</v>
      </c>
      <c r="F15" s="1">
        <v>205</v>
      </c>
      <c r="G15" s="5">
        <f>(Table13[[#This Row],[GHSA_Deaths_2023]]-Table13[[#This Row],[GHSA_Deaths_2022]])/Table13[[#This Row],[GHSA_Deaths_2022]]</f>
        <v>4.060913705583756E-2</v>
      </c>
      <c r="H15">
        <f>Table13[[#This Row],[GHSA_Deaths_2023]]-Table13[[#This Row],[FARS_Deaths_2023]]</f>
        <v>6</v>
      </c>
      <c r="I15" s="4">
        <f>(Table13[[#This Row],[GHSA_Deaths_2023]]-Table13[[#This Row],[FARS_Deaths_2023]])/Table13[[#This Row],[FARS_Deaths_2023]]</f>
        <v>3.015075376884422E-2</v>
      </c>
      <c r="J15" s="3">
        <f>Table13[[#This Row],[GHSA_Deaths_2023]]/Table13[[#This Row],[Pop_2023]]*100000</f>
        <v>1.6334661354581674</v>
      </c>
      <c r="K15" s="6">
        <f>_xlfn.XLOOKUP($A15 &amp; "|Drove alone", Sheet3!$D:$D, Sheet3!$C:$C, "")</f>
        <v>0.6623</v>
      </c>
      <c r="L15" s="6">
        <f>_xlfn.XLOOKUP($A15 &amp; "|Public transportation", Sheet3!$D:$D, Sheet3!$C:$C, "")</f>
        <v>6.6000000000000003E-2</v>
      </c>
      <c r="M15" s="6">
        <f>_xlfn.XLOOKUP($A15 &amp; "|Walked", Sheet3!$D:$D, Sheet3!$C:$C, "")</f>
        <v>2.9399999999999999E-2</v>
      </c>
      <c r="N15" s="6">
        <f>_xlfn.XLOOKUP($A15 &amp; "|Bicycle", Sheet3!$D:$D, Sheet3!$C:$C, "")</f>
        <v>5.8999999999999999E-3</v>
      </c>
      <c r="O15" s="6">
        <f>_xlfn.XLOOKUP($A15 &amp; "|Carpool", Sheet3!$D:$D, Sheet3!$C:$C, "")</f>
        <v>8.2600000000000007E-2</v>
      </c>
      <c r="P15" s="6">
        <f>_xlfn.XLOOKUP($A15 &amp; "|Taxi, motorcycle, or other", Sheet3!$D:$D, Sheet3!$C:$C, "")</f>
        <v>1.35E-2</v>
      </c>
      <c r="Q15" s="6">
        <f>_xlfn.XLOOKUP($A15 &amp; "|Worked at home", Sheet3!$D:$D, Sheet3!$C:$C, "")</f>
        <v>0.14030000000000001</v>
      </c>
      <c r="R15" t="s">
        <v>86</v>
      </c>
      <c r="S15" s="8">
        <f>Table13[[#This Row],[Drive_%]]/Table13[[#This Row],[Walk_%]]</f>
        <v>22.527210884353742</v>
      </c>
    </row>
    <row r="16" spans="1:19" x14ac:dyDescent="0.25">
      <c r="A16" t="s">
        <v>36</v>
      </c>
      <c r="B16">
        <v>96</v>
      </c>
      <c r="C16">
        <v>1.4</v>
      </c>
      <c r="D16">
        <v>6862000</v>
      </c>
      <c r="E16" s="1">
        <v>114</v>
      </c>
      <c r="F16" s="1">
        <v>92</v>
      </c>
      <c r="G16" s="5">
        <f>(Table13[[#This Row],[GHSA_Deaths_2023]]-Table13[[#This Row],[GHSA_Deaths_2022]])/Table13[[#This Row],[GHSA_Deaths_2022]]</f>
        <v>-0.19298245614035087</v>
      </c>
      <c r="H16">
        <f>Table13[[#This Row],[GHSA_Deaths_2023]]-Table13[[#This Row],[FARS_Deaths_2023]]</f>
        <v>-4</v>
      </c>
      <c r="I16" s="4">
        <f>(Table13[[#This Row],[GHSA_Deaths_2023]]-Table13[[#This Row],[FARS_Deaths_2023]])/Table13[[#This Row],[FARS_Deaths_2023]]</f>
        <v>-4.1666666666666664E-2</v>
      </c>
      <c r="J16" s="3">
        <f>Table13[[#This Row],[GHSA_Deaths_2023]]/Table13[[#This Row],[Pop_2023]]*100000</f>
        <v>1.3407169921305742</v>
      </c>
      <c r="K16" s="6">
        <f>_xlfn.XLOOKUP($A16 &amp; "|Drove alone", Sheet3!$D:$D, Sheet3!$C:$C, "")</f>
        <v>0.76380000000000003</v>
      </c>
      <c r="L16" s="6">
        <f>_xlfn.XLOOKUP($A16 &amp; "|Public transportation", Sheet3!$D:$D, Sheet3!$C:$C, "")</f>
        <v>6.8999999999999999E-3</v>
      </c>
      <c r="M16" s="6">
        <f>_xlfn.XLOOKUP($A16 &amp; "|Walked", Sheet3!$D:$D, Sheet3!$C:$C, "")</f>
        <v>1.84E-2</v>
      </c>
      <c r="N16" s="6">
        <f>_xlfn.XLOOKUP($A16 &amp; "|Bicycle", Sheet3!$D:$D, Sheet3!$C:$C, "")</f>
        <v>3.3E-3</v>
      </c>
      <c r="O16" s="6">
        <f>_xlfn.XLOOKUP($A16 &amp; "|Carpool", Sheet3!$D:$D, Sheet3!$C:$C, "")</f>
        <v>9.4399999999999998E-2</v>
      </c>
      <c r="P16" s="6">
        <f>_xlfn.XLOOKUP($A16 &amp; "|Taxi, motorcycle, or other", Sheet3!$D:$D, Sheet3!$C:$C, "")</f>
        <v>9.5999999999999992E-3</v>
      </c>
      <c r="Q16" s="6">
        <f>_xlfn.XLOOKUP($A16 &amp; "|Worked at home", Sheet3!$D:$D, Sheet3!$C:$C, "")</f>
        <v>0.1036</v>
      </c>
      <c r="R16" t="s">
        <v>86</v>
      </c>
      <c r="S16" s="8">
        <f>Table13[[#This Row],[Drive_%]]/Table13[[#This Row],[Walk_%]]</f>
        <v>41.510869565217391</v>
      </c>
    </row>
    <row r="17" spans="1:19" x14ac:dyDescent="0.25">
      <c r="A17" t="s">
        <v>47</v>
      </c>
      <c r="B17">
        <v>29</v>
      </c>
      <c r="C17">
        <v>0.9</v>
      </c>
      <c r="D17">
        <v>3207000</v>
      </c>
      <c r="E17" s="1">
        <v>18</v>
      </c>
      <c r="F17" s="1">
        <v>30</v>
      </c>
      <c r="G17" s="5">
        <f>(Table13[[#This Row],[GHSA_Deaths_2023]]-Table13[[#This Row],[GHSA_Deaths_2022]])/Table13[[#This Row],[GHSA_Deaths_2022]]</f>
        <v>0.66666666666666663</v>
      </c>
      <c r="H17">
        <f>Table13[[#This Row],[GHSA_Deaths_2023]]-Table13[[#This Row],[FARS_Deaths_2023]]</f>
        <v>1</v>
      </c>
      <c r="I17" s="4">
        <f>(Table13[[#This Row],[GHSA_Deaths_2023]]-Table13[[#This Row],[FARS_Deaths_2023]])/Table13[[#This Row],[FARS_Deaths_2023]]</f>
        <v>3.4482758620689655E-2</v>
      </c>
      <c r="J17" s="3">
        <f>Table13[[#This Row],[GHSA_Deaths_2023]]/Table13[[#This Row],[Pop_2023]]*100000</f>
        <v>0.93545369504209541</v>
      </c>
      <c r="K17" s="6">
        <f>_xlfn.XLOOKUP($A17 &amp; "|Drove alone", Sheet3!$D:$D, Sheet3!$C:$C, "")</f>
        <v>0.7621</v>
      </c>
      <c r="L17" s="6">
        <f>_xlfn.XLOOKUP($A17 &amp; "|Public transportation", Sheet3!$D:$D, Sheet3!$C:$C, "")</f>
        <v>7.4999999999999997E-3</v>
      </c>
      <c r="M17" s="6">
        <f>_xlfn.XLOOKUP($A17 &amp; "|Walked", Sheet3!$D:$D, Sheet3!$C:$C, "")</f>
        <v>2.7900000000000001E-2</v>
      </c>
      <c r="N17" s="6">
        <f>_xlfn.XLOOKUP($A17 &amp; "|Bicycle", Sheet3!$D:$D, Sheet3!$C:$C, "")</f>
        <v>3.8E-3</v>
      </c>
      <c r="O17" s="6">
        <f>_xlfn.XLOOKUP($A17 &amp; "|Carpool", Sheet3!$D:$D, Sheet3!$C:$C, "")</f>
        <v>8.2100000000000006E-2</v>
      </c>
      <c r="P17" s="6">
        <f>_xlfn.XLOOKUP($A17 &amp; "|Taxi, motorcycle, or other", Sheet3!$D:$D, Sheet3!$C:$C, "")</f>
        <v>1.17E-2</v>
      </c>
      <c r="Q17" s="6">
        <f>_xlfn.XLOOKUP($A17 &amp; "|Worked at home", Sheet3!$D:$D, Sheet3!$C:$C, "")</f>
        <v>0.1048</v>
      </c>
      <c r="R17" t="s">
        <v>86</v>
      </c>
      <c r="S17" s="8">
        <f>Table13[[#This Row],[Drive_%]]/Table13[[#This Row],[Walk_%]]</f>
        <v>27.315412186379927</v>
      </c>
    </row>
    <row r="18" spans="1:19" x14ac:dyDescent="0.25">
      <c r="A18" t="s">
        <v>39</v>
      </c>
      <c r="B18">
        <v>38</v>
      </c>
      <c r="C18">
        <v>1.29</v>
      </c>
      <c r="D18">
        <v>2941000</v>
      </c>
      <c r="E18" s="1">
        <v>45</v>
      </c>
      <c r="F18" s="1">
        <v>49</v>
      </c>
      <c r="G18" s="5">
        <f>(Table13[[#This Row],[GHSA_Deaths_2023]]-Table13[[#This Row],[GHSA_Deaths_2022]])/Table13[[#This Row],[GHSA_Deaths_2022]]</f>
        <v>8.8888888888888892E-2</v>
      </c>
      <c r="H18">
        <f>Table13[[#This Row],[GHSA_Deaths_2023]]-Table13[[#This Row],[FARS_Deaths_2023]]</f>
        <v>11</v>
      </c>
      <c r="I18" s="4">
        <f>(Table13[[#This Row],[GHSA_Deaths_2023]]-Table13[[#This Row],[FARS_Deaths_2023]])/Table13[[#This Row],[FARS_Deaths_2023]]</f>
        <v>0.28947368421052633</v>
      </c>
      <c r="J18" s="3">
        <f>Table13[[#This Row],[GHSA_Deaths_2023]]/Table13[[#This Row],[Pop_2023]]*100000</f>
        <v>1.6660999659979598</v>
      </c>
      <c r="K18" s="6">
        <f>_xlfn.XLOOKUP($A18 &amp; "|Drove alone", Sheet3!$D:$D, Sheet3!$C:$C, "")</f>
        <v>0.76629999999999998</v>
      </c>
      <c r="L18" s="6">
        <f>_xlfn.XLOOKUP($A18 &amp; "|Public transportation", Sheet3!$D:$D, Sheet3!$C:$C, "")</f>
        <v>4.3E-3</v>
      </c>
      <c r="M18" s="6">
        <f>_xlfn.XLOOKUP($A18 &amp; "|Walked", Sheet3!$D:$D, Sheet3!$C:$C, "")</f>
        <v>2.5100000000000001E-2</v>
      </c>
      <c r="N18" s="6">
        <f>_xlfn.XLOOKUP($A18 &amp; "|Bicycle", Sheet3!$D:$D, Sheet3!$C:$C, "")</f>
        <v>2.0999999999999999E-3</v>
      </c>
      <c r="O18" s="6">
        <f>_xlfn.XLOOKUP($A18 &amp; "|Carpool", Sheet3!$D:$D, Sheet3!$C:$C, "")</f>
        <v>8.77E-2</v>
      </c>
      <c r="P18" s="6">
        <f>_xlfn.XLOOKUP($A18 &amp; "|Taxi, motorcycle, or other", Sheet3!$D:$D, Sheet3!$C:$C, "")</f>
        <v>1.0699999999999999E-2</v>
      </c>
      <c r="Q18" s="6">
        <f>_xlfn.XLOOKUP($A18 &amp; "|Worked at home", Sheet3!$D:$D, Sheet3!$C:$C, "")</f>
        <v>0.10390000000000001</v>
      </c>
      <c r="R18" t="s">
        <v>86</v>
      </c>
      <c r="S18" s="8">
        <f>Table13[[#This Row],[Drive_%]]/Table13[[#This Row],[Walk_%]]</f>
        <v>30.529880478087648</v>
      </c>
    </row>
    <row r="19" spans="1:19" x14ac:dyDescent="0.25">
      <c r="A19" t="s">
        <v>10</v>
      </c>
      <c r="B19">
        <v>121</v>
      </c>
      <c r="C19">
        <v>2.67</v>
      </c>
      <c r="D19">
        <v>4526000</v>
      </c>
      <c r="E19" s="1">
        <v>96</v>
      </c>
      <c r="F19" s="1">
        <v>120</v>
      </c>
      <c r="G19" s="5">
        <f>(Table13[[#This Row],[GHSA_Deaths_2023]]-Table13[[#This Row],[GHSA_Deaths_2022]])/Table13[[#This Row],[GHSA_Deaths_2022]]</f>
        <v>0.25</v>
      </c>
      <c r="H19">
        <f>Table13[[#This Row],[GHSA_Deaths_2023]]-Table13[[#This Row],[FARS_Deaths_2023]]</f>
        <v>-1</v>
      </c>
      <c r="I19" s="4">
        <f>(Table13[[#This Row],[GHSA_Deaths_2023]]-Table13[[#This Row],[FARS_Deaths_2023]])/Table13[[#This Row],[FARS_Deaths_2023]]</f>
        <v>-8.2644628099173556E-3</v>
      </c>
      <c r="J19" s="3">
        <f>Table13[[#This Row],[GHSA_Deaths_2023]]/Table13[[#This Row],[Pop_2023]]*100000</f>
        <v>2.6513477684489617</v>
      </c>
      <c r="K19" s="6">
        <f>_xlfn.XLOOKUP($A19 &amp; "|Drove alone", Sheet3!$D:$D, Sheet3!$C:$C, "")</f>
        <v>0.76680000000000004</v>
      </c>
      <c r="L19" s="6">
        <f>_xlfn.XLOOKUP($A19 &amp; "|Public transportation", Sheet3!$D:$D, Sheet3!$C:$C, "")</f>
        <v>6.7999999999999996E-3</v>
      </c>
      <c r="M19" s="6">
        <f>_xlfn.XLOOKUP($A19 &amp; "|Walked", Sheet3!$D:$D, Sheet3!$C:$C, "")</f>
        <v>1.8499999999999999E-2</v>
      </c>
      <c r="N19" s="6">
        <f>_xlfn.XLOOKUP($A19 &amp; "|Bicycle", Sheet3!$D:$D, Sheet3!$C:$C, "")</f>
        <v>2.0999999999999999E-3</v>
      </c>
      <c r="O19" s="6">
        <f>_xlfn.XLOOKUP($A19 &amp; "|Carpool", Sheet3!$D:$D, Sheet3!$C:$C, "")</f>
        <v>9.9299999999999999E-2</v>
      </c>
      <c r="P19" s="6">
        <f>_xlfn.XLOOKUP($A19 &amp; "|Taxi, motorcycle, or other", Sheet3!$D:$D, Sheet3!$C:$C, "")</f>
        <v>1.17E-2</v>
      </c>
      <c r="Q19" s="6">
        <f>_xlfn.XLOOKUP($A19 &amp; "|Worked at home", Sheet3!$D:$D, Sheet3!$C:$C, "")</f>
        <v>9.4700000000000006E-2</v>
      </c>
      <c r="R19" t="s">
        <v>83</v>
      </c>
      <c r="S19" s="8">
        <f>Table13[[#This Row],[Drive_%]]/Table13[[#This Row],[Walk_%]]</f>
        <v>41.44864864864865</v>
      </c>
    </row>
    <row r="20" spans="1:19" x14ac:dyDescent="0.25">
      <c r="A20" t="s">
        <v>6</v>
      </c>
      <c r="B20">
        <v>145</v>
      </c>
      <c r="C20">
        <v>3.17</v>
      </c>
      <c r="D20">
        <v>4574000</v>
      </c>
      <c r="E20" s="1">
        <v>181</v>
      </c>
      <c r="F20" s="1">
        <v>145</v>
      </c>
      <c r="G20" s="5">
        <f>(Table13[[#This Row],[GHSA_Deaths_2023]]-Table13[[#This Row],[GHSA_Deaths_2022]])/Table13[[#This Row],[GHSA_Deaths_2022]]</f>
        <v>-0.19889502762430938</v>
      </c>
      <c r="H20">
        <f>Table13[[#This Row],[GHSA_Deaths_2023]]-Table13[[#This Row],[FARS_Deaths_2023]]</f>
        <v>0</v>
      </c>
      <c r="I20" s="4">
        <f>(Table13[[#This Row],[GHSA_Deaths_2023]]-Table13[[#This Row],[FARS_Deaths_2023]])/Table13[[#This Row],[FARS_Deaths_2023]]</f>
        <v>0</v>
      </c>
      <c r="J20" s="3">
        <f>Table13[[#This Row],[GHSA_Deaths_2023]]/Table13[[#This Row],[Pop_2023]]*100000</f>
        <v>3.1700918233493662</v>
      </c>
      <c r="K20" s="6">
        <f>_xlfn.XLOOKUP($A20 &amp; "|Drove alone", Sheet3!$D:$D, Sheet3!$C:$C, "")</f>
        <v>0.78649999999999998</v>
      </c>
      <c r="L20" s="6">
        <f>_xlfn.XLOOKUP($A20 &amp; "|Public transportation", Sheet3!$D:$D, Sheet3!$C:$C, "")</f>
        <v>7.9000000000000008E-3</v>
      </c>
      <c r="M20" s="6">
        <f>_xlfn.XLOOKUP($A20 &amp; "|Walked", Sheet3!$D:$D, Sheet3!$C:$C, "")</f>
        <v>1.8700000000000001E-2</v>
      </c>
      <c r="N20" s="6">
        <f>_xlfn.XLOOKUP($A20 &amp; "|Bicycle", Sheet3!$D:$D, Sheet3!$C:$C, "")</f>
        <v>3.5000000000000001E-3</v>
      </c>
      <c r="O20" s="6">
        <f>_xlfn.XLOOKUP($A20 &amp; "|Carpool", Sheet3!$D:$D, Sheet3!$C:$C, "")</f>
        <v>8.6199999999999999E-2</v>
      </c>
      <c r="P20" s="6">
        <f>_xlfn.XLOOKUP($A20 &amp; "|Taxi, motorcycle, or other", Sheet3!$D:$D, Sheet3!$C:$C, "")</f>
        <v>1.6500000000000001E-2</v>
      </c>
      <c r="Q20" s="6">
        <f>_xlfn.XLOOKUP($A20 &amp; "|Worked at home", Sheet3!$D:$D, Sheet3!$C:$C, "")</f>
        <v>8.0699999999999994E-2</v>
      </c>
      <c r="R20" t="s">
        <v>83</v>
      </c>
      <c r="S20" s="8">
        <f>Table13[[#This Row],[Drive_%]]/Table13[[#This Row],[Walk_%]]</f>
        <v>42.058823529411761</v>
      </c>
    </row>
    <row r="21" spans="1:19" x14ac:dyDescent="0.25">
      <c r="A21" t="s">
        <v>37</v>
      </c>
      <c r="B21">
        <v>19</v>
      </c>
      <c r="C21">
        <v>1.36</v>
      </c>
      <c r="D21">
        <v>1396000</v>
      </c>
      <c r="E21" s="1">
        <v>21</v>
      </c>
      <c r="F21" s="1">
        <v>20</v>
      </c>
      <c r="G21" s="5">
        <f>(Table13[[#This Row],[GHSA_Deaths_2023]]-Table13[[#This Row],[GHSA_Deaths_2022]])/Table13[[#This Row],[GHSA_Deaths_2022]]</f>
        <v>-4.7619047619047616E-2</v>
      </c>
      <c r="H21">
        <f>Table13[[#This Row],[GHSA_Deaths_2023]]-Table13[[#This Row],[FARS_Deaths_2023]]</f>
        <v>1</v>
      </c>
      <c r="I21" s="4">
        <f>(Table13[[#This Row],[GHSA_Deaths_2023]]-Table13[[#This Row],[FARS_Deaths_2023]])/Table13[[#This Row],[FARS_Deaths_2023]]</f>
        <v>5.2631578947368418E-2</v>
      </c>
      <c r="J21" s="3">
        <f>Table13[[#This Row],[GHSA_Deaths_2023]]/Table13[[#This Row],[Pop_2023]]*100000</f>
        <v>1.4326647564469914</v>
      </c>
      <c r="K21" s="6">
        <f>_xlfn.XLOOKUP($A21 &amp; "|Drove alone", Sheet3!$D:$D, Sheet3!$C:$C, "")</f>
        <v>0.72189999999999999</v>
      </c>
      <c r="L21" s="6">
        <f>_xlfn.XLOOKUP($A21 &amp; "|Public transportation", Sheet3!$D:$D, Sheet3!$C:$C, "")</f>
        <v>7.9000000000000008E-3</v>
      </c>
      <c r="M21" s="6">
        <f>_xlfn.XLOOKUP($A21 &amp; "|Walked", Sheet3!$D:$D, Sheet3!$C:$C, "")</f>
        <v>3.3399999999999999E-2</v>
      </c>
      <c r="N21" s="6">
        <f>_xlfn.XLOOKUP($A21 &amp; "|Bicycle", Sheet3!$D:$D, Sheet3!$C:$C, "")</f>
        <v>3.2000000000000002E-3</v>
      </c>
      <c r="O21" s="6">
        <f>_xlfn.XLOOKUP($A21 &amp; "|Carpool", Sheet3!$D:$D, Sheet3!$C:$C, "")</f>
        <v>7.8200000000000006E-2</v>
      </c>
      <c r="P21" s="6">
        <f>_xlfn.XLOOKUP($A21 &amp; "|Taxi, motorcycle, or other", Sheet3!$D:$D, Sheet3!$C:$C, "")</f>
        <v>1.23E-2</v>
      </c>
      <c r="Q21" s="6">
        <f>_xlfn.XLOOKUP($A21 &amp; "|Worked at home", Sheet3!$D:$D, Sheet3!$C:$C, "")</f>
        <v>0.14299999999999999</v>
      </c>
      <c r="R21" t="s">
        <v>85</v>
      </c>
      <c r="S21" s="8">
        <f>Table13[[#This Row],[Drive_%]]/Table13[[#This Row],[Walk_%]]</f>
        <v>21.613772455089819</v>
      </c>
    </row>
    <row r="22" spans="1:19" x14ac:dyDescent="0.25">
      <c r="A22" t="s">
        <v>14</v>
      </c>
      <c r="B22">
        <v>160</v>
      </c>
      <c r="C22">
        <v>2.59</v>
      </c>
      <c r="D22">
        <v>6180000</v>
      </c>
      <c r="E22" s="1">
        <v>137</v>
      </c>
      <c r="F22" s="1">
        <v>161</v>
      </c>
      <c r="G22" s="5">
        <f>(Table13[[#This Row],[GHSA_Deaths_2023]]-Table13[[#This Row],[GHSA_Deaths_2022]])/Table13[[#This Row],[GHSA_Deaths_2022]]</f>
        <v>0.17518248175182483</v>
      </c>
      <c r="H22">
        <f>Table13[[#This Row],[GHSA_Deaths_2023]]-Table13[[#This Row],[FARS_Deaths_2023]]</f>
        <v>1</v>
      </c>
      <c r="I22" s="4">
        <f>(Table13[[#This Row],[GHSA_Deaths_2023]]-Table13[[#This Row],[FARS_Deaths_2023]])/Table13[[#This Row],[FARS_Deaths_2023]]</f>
        <v>6.2500000000000003E-3</v>
      </c>
      <c r="J22" s="3">
        <f>Table13[[#This Row],[GHSA_Deaths_2023]]/Table13[[#This Row],[Pop_2023]]*100000</f>
        <v>2.6051779935275081</v>
      </c>
      <c r="K22" s="6">
        <f>_xlfn.XLOOKUP($A22 &amp; "|Drove alone", Sheet3!$D:$D, Sheet3!$C:$C, "")</f>
        <v>0.65629999999999999</v>
      </c>
      <c r="L22" s="6">
        <f>_xlfn.XLOOKUP($A22 &amp; "|Public transportation", Sheet3!$D:$D, Sheet3!$C:$C, "")</f>
        <v>4.8800000000000003E-2</v>
      </c>
      <c r="M22" s="6">
        <f>_xlfn.XLOOKUP($A22 &amp; "|Walked", Sheet3!$D:$D, Sheet3!$C:$C, "")</f>
        <v>2.1999999999999999E-2</v>
      </c>
      <c r="N22" s="6">
        <f>_xlfn.XLOOKUP($A22 &amp; "|Bicycle", Sheet3!$D:$D, Sheet3!$C:$C, "")</f>
        <v>2.8999999999999998E-3</v>
      </c>
      <c r="O22" s="6">
        <f>_xlfn.XLOOKUP($A22 &amp; "|Carpool", Sheet3!$D:$D, Sheet3!$C:$C, "")</f>
        <v>8.3400000000000002E-2</v>
      </c>
      <c r="P22" s="6">
        <f>_xlfn.XLOOKUP($A22 &amp; "|Taxi, motorcycle, or other", Sheet3!$D:$D, Sheet3!$C:$C, "")</f>
        <v>1.7600000000000001E-2</v>
      </c>
      <c r="Q22" s="6">
        <f>_xlfn.XLOOKUP($A22 &amp; "|Worked at home", Sheet3!$D:$D, Sheet3!$C:$C, "")</f>
        <v>0.16900000000000001</v>
      </c>
      <c r="R22" t="s">
        <v>85</v>
      </c>
      <c r="S22" s="8">
        <f>Table13[[#This Row],[Drive_%]]/Table13[[#This Row],[Walk_%]]</f>
        <v>29.831818181818182</v>
      </c>
    </row>
    <row r="23" spans="1:19" x14ac:dyDescent="0.25">
      <c r="A23" t="s">
        <v>46</v>
      </c>
      <c r="B23">
        <v>67</v>
      </c>
      <c r="C23">
        <v>0.96</v>
      </c>
      <c r="D23">
        <v>7001000</v>
      </c>
      <c r="E23" s="1">
        <v>98</v>
      </c>
      <c r="F23" s="1">
        <v>69</v>
      </c>
      <c r="G23" s="5">
        <f>(Table13[[#This Row],[GHSA_Deaths_2023]]-Table13[[#This Row],[GHSA_Deaths_2022]])/Table13[[#This Row],[GHSA_Deaths_2022]]</f>
        <v>-0.29591836734693877</v>
      </c>
      <c r="H23">
        <f>Table13[[#This Row],[GHSA_Deaths_2023]]-Table13[[#This Row],[FARS_Deaths_2023]]</f>
        <v>2</v>
      </c>
      <c r="I23" s="4">
        <f>(Table13[[#This Row],[GHSA_Deaths_2023]]-Table13[[#This Row],[FARS_Deaths_2023]])/Table13[[#This Row],[FARS_Deaths_2023]]</f>
        <v>2.9850746268656716E-2</v>
      </c>
      <c r="J23" s="3">
        <f>Table13[[#This Row],[GHSA_Deaths_2023]]/Table13[[#This Row],[Pop_2023]]*100000</f>
        <v>0.98557348950149981</v>
      </c>
      <c r="K23" s="6">
        <f>_xlfn.XLOOKUP($A23 &amp; "|Drove alone", Sheet3!$D:$D, Sheet3!$C:$C, "")</f>
        <v>0.62819999999999998</v>
      </c>
      <c r="L23" s="6">
        <f>_xlfn.XLOOKUP($A23 &amp; "|Public transportation", Sheet3!$D:$D, Sheet3!$C:$C, "")</f>
        <v>7.2700000000000001E-2</v>
      </c>
      <c r="M23" s="6">
        <f>_xlfn.XLOOKUP($A23 &amp; "|Walked", Sheet3!$D:$D, Sheet3!$C:$C, "")</f>
        <v>4.2099999999999999E-2</v>
      </c>
      <c r="N23" s="6">
        <f>_xlfn.XLOOKUP($A23 &amp; "|Bicycle", Sheet3!$D:$D, Sheet3!$C:$C, "")</f>
        <v>1.0999999999999999E-2</v>
      </c>
      <c r="O23" s="6">
        <f>_xlfn.XLOOKUP($A23 &amp; "|Carpool", Sheet3!$D:$D, Sheet3!$C:$C, "")</f>
        <v>7.1499999999999994E-2</v>
      </c>
      <c r="P23" s="6">
        <f>_xlfn.XLOOKUP($A23 &amp; "|Taxi, motorcycle, or other", Sheet3!$D:$D, Sheet3!$C:$C, "")</f>
        <v>1.8499999999999999E-2</v>
      </c>
      <c r="Q23" s="6">
        <f>_xlfn.XLOOKUP($A23 &amp; "|Worked at home", Sheet3!$D:$D, Sheet3!$C:$C, "")</f>
        <v>0.156</v>
      </c>
      <c r="R23" t="s">
        <v>85</v>
      </c>
      <c r="S23" s="8">
        <f>Table13[[#This Row],[Drive_%]]/Table13[[#This Row],[Walk_%]]</f>
        <v>14.921615201900238</v>
      </c>
    </row>
    <row r="24" spans="1:19" x14ac:dyDescent="0.25">
      <c r="A24" t="s">
        <v>27</v>
      </c>
      <c r="B24">
        <v>175</v>
      </c>
      <c r="C24">
        <v>1.74</v>
      </c>
      <c r="D24">
        <v>10037000</v>
      </c>
      <c r="E24" s="1">
        <v>173</v>
      </c>
      <c r="F24" s="1">
        <v>181</v>
      </c>
      <c r="G24" s="5">
        <f>(Table13[[#This Row],[GHSA_Deaths_2023]]-Table13[[#This Row],[GHSA_Deaths_2022]])/Table13[[#This Row],[GHSA_Deaths_2022]]</f>
        <v>4.6242774566473986E-2</v>
      </c>
      <c r="H24">
        <f>Table13[[#This Row],[GHSA_Deaths_2023]]-Table13[[#This Row],[FARS_Deaths_2023]]</f>
        <v>6</v>
      </c>
      <c r="I24" s="4">
        <f>(Table13[[#This Row],[GHSA_Deaths_2023]]-Table13[[#This Row],[FARS_Deaths_2023]])/Table13[[#This Row],[FARS_Deaths_2023]]</f>
        <v>3.4285714285714287E-2</v>
      </c>
      <c r="J24" s="3">
        <f>Table13[[#This Row],[GHSA_Deaths_2023]]/Table13[[#This Row],[Pop_2023]]*100000</f>
        <v>1.8033276875560427</v>
      </c>
      <c r="K24" s="6">
        <f>_xlfn.XLOOKUP($A24 &amp; "|Drove alone", Sheet3!$D:$D, Sheet3!$C:$C, "")</f>
        <v>0.75019999999999998</v>
      </c>
      <c r="L24" s="6">
        <f>_xlfn.XLOOKUP($A24 &amp; "|Public transportation", Sheet3!$D:$D, Sheet3!$C:$C, "")</f>
        <v>9.1000000000000004E-3</v>
      </c>
      <c r="M24" s="6">
        <f>_xlfn.XLOOKUP($A24 &amp; "|Walked", Sheet3!$D:$D, Sheet3!$C:$C, "")</f>
        <v>2.0299999999999999E-2</v>
      </c>
      <c r="N24" s="6">
        <f>_xlfn.XLOOKUP($A24 &amp; "|Bicycle", Sheet3!$D:$D, Sheet3!$C:$C, "")</f>
        <v>3.5999999999999999E-3</v>
      </c>
      <c r="O24" s="6">
        <f>_xlfn.XLOOKUP($A24 &amp; "|Carpool", Sheet3!$D:$D, Sheet3!$C:$C, "")</f>
        <v>8.4199999999999997E-2</v>
      </c>
      <c r="P24" s="6">
        <f>_xlfn.XLOOKUP($A24 &amp; "|Taxi, motorcycle, or other", Sheet3!$D:$D, Sheet3!$C:$C, "")</f>
        <v>1.04E-2</v>
      </c>
      <c r="Q24" s="6">
        <f>_xlfn.XLOOKUP($A24 &amp; "|Worked at home", Sheet3!$D:$D, Sheet3!$C:$C, "")</f>
        <v>0.1222</v>
      </c>
      <c r="R24" t="s">
        <v>86</v>
      </c>
      <c r="S24" s="8">
        <f>Table13[[#This Row],[Drive_%]]/Table13[[#This Row],[Walk_%]]</f>
        <v>36.955665024630541</v>
      </c>
    </row>
    <row r="25" spans="1:19" x14ac:dyDescent="0.25">
      <c r="A25" t="s">
        <v>50</v>
      </c>
      <c r="B25">
        <v>42</v>
      </c>
      <c r="C25">
        <v>0.73</v>
      </c>
      <c r="D25">
        <v>5738000</v>
      </c>
      <c r="E25" s="1">
        <v>45</v>
      </c>
      <c r="F25" s="1">
        <v>44</v>
      </c>
      <c r="G25" s="5">
        <f>(Table13[[#This Row],[GHSA_Deaths_2023]]-Table13[[#This Row],[GHSA_Deaths_2022]])/Table13[[#This Row],[GHSA_Deaths_2022]]</f>
        <v>-2.2222222222222223E-2</v>
      </c>
      <c r="H25">
        <f>Table13[[#This Row],[GHSA_Deaths_2023]]-Table13[[#This Row],[FARS_Deaths_2023]]</f>
        <v>2</v>
      </c>
      <c r="I25" s="4">
        <f>(Table13[[#This Row],[GHSA_Deaths_2023]]-Table13[[#This Row],[FARS_Deaths_2023]])/Table13[[#This Row],[FARS_Deaths_2023]]</f>
        <v>4.7619047619047616E-2</v>
      </c>
      <c r="J25" s="3">
        <f>Table13[[#This Row],[GHSA_Deaths_2023]]/Table13[[#This Row],[Pop_2023]]*100000</f>
        <v>0.76681770651795045</v>
      </c>
      <c r="K25" s="6">
        <f>_xlfn.XLOOKUP($A25 &amp; "|Drove alone", Sheet3!$D:$D, Sheet3!$C:$C, "")</f>
        <v>0.69840000000000002</v>
      </c>
      <c r="L25" s="6">
        <f>_xlfn.XLOOKUP($A25 &amp; "|Public transportation", Sheet3!$D:$D, Sheet3!$C:$C, "")</f>
        <v>1.72E-2</v>
      </c>
      <c r="M25" s="6">
        <f>_xlfn.XLOOKUP($A25 &amp; "|Walked", Sheet3!$D:$D, Sheet3!$C:$C, "")</f>
        <v>2.5999999999999999E-2</v>
      </c>
      <c r="N25" s="6">
        <f>_xlfn.XLOOKUP($A25 &amp; "|Bicycle", Sheet3!$D:$D, Sheet3!$C:$C, "")</f>
        <v>4.4999999999999997E-3</v>
      </c>
      <c r="O25" s="6">
        <f>_xlfn.XLOOKUP($A25 &amp; "|Carpool", Sheet3!$D:$D, Sheet3!$C:$C, "")</f>
        <v>8.0299999999999996E-2</v>
      </c>
      <c r="P25" s="6">
        <f>_xlfn.XLOOKUP($A25 &amp; "|Taxi, motorcycle, or other", Sheet3!$D:$D, Sheet3!$C:$C, "")</f>
        <v>1.23E-2</v>
      </c>
      <c r="Q25" s="6">
        <f>_xlfn.XLOOKUP($A25 &amp; "|Worked at home", Sheet3!$D:$D, Sheet3!$C:$C, "")</f>
        <v>0.1613</v>
      </c>
      <c r="R25" t="s">
        <v>86</v>
      </c>
      <c r="S25" s="8">
        <f>Table13[[#This Row],[Drive_%]]/Table13[[#This Row],[Walk_%]]</f>
        <v>26.861538461538462</v>
      </c>
    </row>
    <row r="26" spans="1:19" x14ac:dyDescent="0.25">
      <c r="A26" t="s">
        <v>7</v>
      </c>
      <c r="B26">
        <v>86</v>
      </c>
      <c r="C26">
        <v>2.93</v>
      </c>
      <c r="D26">
        <v>2940000</v>
      </c>
      <c r="E26" s="1">
        <v>80</v>
      </c>
      <c r="F26" s="1">
        <v>87</v>
      </c>
      <c r="G26" s="5">
        <f>(Table13[[#This Row],[GHSA_Deaths_2023]]-Table13[[#This Row],[GHSA_Deaths_2022]])/Table13[[#This Row],[GHSA_Deaths_2022]]</f>
        <v>8.7499999999999994E-2</v>
      </c>
      <c r="H26">
        <f>Table13[[#This Row],[GHSA_Deaths_2023]]-Table13[[#This Row],[FARS_Deaths_2023]]</f>
        <v>1</v>
      </c>
      <c r="I26" s="4">
        <f>(Table13[[#This Row],[GHSA_Deaths_2023]]-Table13[[#This Row],[FARS_Deaths_2023]])/Table13[[#This Row],[FARS_Deaths_2023]]</f>
        <v>1.1627906976744186E-2</v>
      </c>
      <c r="J26" s="3">
        <f>Table13[[#This Row],[GHSA_Deaths_2023]]/Table13[[#This Row],[Pop_2023]]*100000</f>
        <v>2.9591836734693877</v>
      </c>
      <c r="K26" s="6">
        <f>_xlfn.XLOOKUP($A26 &amp; "|Drove alone", Sheet3!$D:$D, Sheet3!$C:$C, "")</f>
        <v>0.80320000000000003</v>
      </c>
      <c r="L26" s="6">
        <f>_xlfn.XLOOKUP($A26 &amp; "|Public transportation", Sheet3!$D:$D, Sheet3!$C:$C, "")</f>
        <v>2.3E-3</v>
      </c>
      <c r="M26" s="6">
        <f>_xlfn.XLOOKUP($A26 &amp; "|Walked", Sheet3!$D:$D, Sheet3!$C:$C, "")</f>
        <v>1.52E-2</v>
      </c>
      <c r="N26" s="6">
        <f>_xlfn.XLOOKUP($A26 &amp; "|Bicycle", Sheet3!$D:$D, Sheet3!$C:$C, "")</f>
        <v>1E-3</v>
      </c>
      <c r="O26" s="6">
        <f>_xlfn.XLOOKUP($A26 &amp; "|Carpool", Sheet3!$D:$D, Sheet3!$C:$C, "")</f>
        <v>0.1032</v>
      </c>
      <c r="P26" s="6">
        <f>_xlfn.XLOOKUP($A26 &amp; "|Taxi, motorcycle, or other", Sheet3!$D:$D, Sheet3!$C:$C, "")</f>
        <v>1.14E-2</v>
      </c>
      <c r="Q26" s="6">
        <f>_xlfn.XLOOKUP($A26 &amp; "|Worked at home", Sheet3!$D:$D, Sheet3!$C:$C, "")</f>
        <v>6.3700000000000007E-2</v>
      </c>
      <c r="R26" t="s">
        <v>83</v>
      </c>
      <c r="S26" s="8">
        <f>Table13[[#This Row],[Drive_%]]/Table13[[#This Row],[Walk_%]]</f>
        <v>52.842105263157897</v>
      </c>
    </row>
    <row r="27" spans="1:19" x14ac:dyDescent="0.25">
      <c r="A27" t="s">
        <v>22</v>
      </c>
      <c r="B27">
        <v>127</v>
      </c>
      <c r="C27">
        <v>2.0499999999999998</v>
      </c>
      <c r="D27">
        <v>6196000</v>
      </c>
      <c r="E27" s="1">
        <v>130</v>
      </c>
      <c r="F27" s="1">
        <v>126</v>
      </c>
      <c r="G27" s="5">
        <f>(Table13[[#This Row],[GHSA_Deaths_2023]]-Table13[[#This Row],[GHSA_Deaths_2022]])/Table13[[#This Row],[GHSA_Deaths_2022]]</f>
        <v>-3.0769230769230771E-2</v>
      </c>
      <c r="H27">
        <f>Table13[[#This Row],[GHSA_Deaths_2023]]-Table13[[#This Row],[FARS_Deaths_2023]]</f>
        <v>-1</v>
      </c>
      <c r="I27" s="4">
        <f>(Table13[[#This Row],[GHSA_Deaths_2023]]-Table13[[#This Row],[FARS_Deaths_2023]])/Table13[[#This Row],[FARS_Deaths_2023]]</f>
        <v>-7.874015748031496E-3</v>
      </c>
      <c r="J27" s="3">
        <f>Table13[[#This Row],[GHSA_Deaths_2023]]/Table13[[#This Row],[Pop_2023]]*100000</f>
        <v>2.0335700451904453</v>
      </c>
      <c r="K27" s="6">
        <f>_xlfn.XLOOKUP($A27 &amp; "|Drove alone", Sheet3!$D:$D, Sheet3!$C:$C, "")</f>
        <v>0.74990000000000001</v>
      </c>
      <c r="L27" s="6">
        <f>_xlfn.XLOOKUP($A27 &amp; "|Public transportation", Sheet3!$D:$D, Sheet3!$C:$C, "")</f>
        <v>7.6E-3</v>
      </c>
      <c r="M27" s="6">
        <f>_xlfn.XLOOKUP($A27 &amp; "|Walked", Sheet3!$D:$D, Sheet3!$C:$C, "")</f>
        <v>1.83E-2</v>
      </c>
      <c r="N27" s="6">
        <f>_xlfn.XLOOKUP($A27 &amp; "|Bicycle", Sheet3!$D:$D, Sheet3!$C:$C, "")</f>
        <v>2.5000000000000001E-3</v>
      </c>
      <c r="O27" s="6">
        <f>_xlfn.XLOOKUP($A27 &amp; "|Carpool", Sheet3!$D:$D, Sheet3!$C:$C, "")</f>
        <v>8.3799999999999999E-2</v>
      </c>
      <c r="P27" s="6">
        <f>_xlfn.XLOOKUP($A27 &amp; "|Taxi, motorcycle, or other", Sheet3!$D:$D, Sheet3!$C:$C, "")</f>
        <v>1.2500000000000001E-2</v>
      </c>
      <c r="Q27" s="6">
        <f>_xlfn.XLOOKUP($A27 &amp; "|Worked at home", Sheet3!$D:$D, Sheet3!$C:$C, "")</f>
        <v>0.12529999999999999</v>
      </c>
      <c r="R27" t="s">
        <v>86</v>
      </c>
      <c r="S27" s="8">
        <f>Table13[[#This Row],[Drive_%]]/Table13[[#This Row],[Walk_%]]</f>
        <v>40.978142076502735</v>
      </c>
    </row>
    <row r="28" spans="1:19" x14ac:dyDescent="0.25">
      <c r="A28" t="s">
        <v>26</v>
      </c>
      <c r="B28">
        <v>20</v>
      </c>
      <c r="C28">
        <v>1.77</v>
      </c>
      <c r="D28">
        <v>1133000</v>
      </c>
      <c r="E28" s="1">
        <v>21</v>
      </c>
      <c r="F28" s="1">
        <v>23</v>
      </c>
      <c r="G28" s="5">
        <f>(Table13[[#This Row],[GHSA_Deaths_2023]]-Table13[[#This Row],[GHSA_Deaths_2022]])/Table13[[#This Row],[GHSA_Deaths_2022]]</f>
        <v>9.5238095238095233E-2</v>
      </c>
      <c r="H28">
        <f>Table13[[#This Row],[GHSA_Deaths_2023]]-Table13[[#This Row],[FARS_Deaths_2023]]</f>
        <v>3</v>
      </c>
      <c r="I28" s="4">
        <f>(Table13[[#This Row],[GHSA_Deaths_2023]]-Table13[[#This Row],[FARS_Deaths_2023]])/Table13[[#This Row],[FARS_Deaths_2023]]</f>
        <v>0.15</v>
      </c>
      <c r="J28" s="3">
        <f>Table13[[#This Row],[GHSA_Deaths_2023]]/Table13[[#This Row],[Pop_2023]]*100000</f>
        <v>2.0300088261253308</v>
      </c>
      <c r="K28" s="6">
        <f>_xlfn.XLOOKUP($A28 &amp; "|Drove alone", Sheet3!$D:$D, Sheet3!$C:$C, "")</f>
        <v>0.7248</v>
      </c>
      <c r="L28" s="6">
        <f>_xlfn.XLOOKUP($A28 &amp; "|Public transportation", Sheet3!$D:$D, Sheet3!$C:$C, "")</f>
        <v>5.5999999999999999E-3</v>
      </c>
      <c r="M28" s="6">
        <f>_xlfn.XLOOKUP($A28 &amp; "|Walked", Sheet3!$D:$D, Sheet3!$C:$C, "")</f>
        <v>4.1700000000000001E-2</v>
      </c>
      <c r="N28" s="6">
        <f>_xlfn.XLOOKUP($A28 &amp; "|Bicycle", Sheet3!$D:$D, Sheet3!$C:$C, "")</f>
        <v>8.0000000000000002E-3</v>
      </c>
      <c r="O28" s="6">
        <f>_xlfn.XLOOKUP($A28 &amp; "|Carpool", Sheet3!$D:$D, Sheet3!$C:$C, "")</f>
        <v>9.3700000000000006E-2</v>
      </c>
      <c r="P28" s="6">
        <f>_xlfn.XLOOKUP($A28 &amp; "|Taxi, motorcycle, or other", Sheet3!$D:$D, Sheet3!$C:$C, "")</f>
        <v>1.2999999999999999E-2</v>
      </c>
      <c r="Q28" s="6">
        <f>_xlfn.XLOOKUP($A28 &amp; "|Worked at home", Sheet3!$D:$D, Sheet3!$C:$C, "")</f>
        <v>0.1133</v>
      </c>
      <c r="R28" t="s">
        <v>84</v>
      </c>
      <c r="S28" s="8">
        <f>Table13[[#This Row],[Drive_%]]/Table13[[#This Row],[Walk_%]]</f>
        <v>17.381294964028775</v>
      </c>
    </row>
    <row r="29" spans="1:19" x14ac:dyDescent="0.25">
      <c r="A29" t="s">
        <v>51</v>
      </c>
      <c r="B29">
        <v>13</v>
      </c>
      <c r="C29">
        <v>0.66</v>
      </c>
      <c r="D29">
        <v>1978000</v>
      </c>
      <c r="E29" s="1">
        <v>23</v>
      </c>
      <c r="F29" s="1">
        <v>14</v>
      </c>
      <c r="G29" s="5">
        <f>(Table13[[#This Row],[GHSA_Deaths_2023]]-Table13[[#This Row],[GHSA_Deaths_2022]])/Table13[[#This Row],[GHSA_Deaths_2022]]</f>
        <v>-0.39130434782608697</v>
      </c>
      <c r="H29">
        <f>Table13[[#This Row],[GHSA_Deaths_2023]]-Table13[[#This Row],[FARS_Deaths_2023]]</f>
        <v>1</v>
      </c>
      <c r="I29" s="4">
        <f>(Table13[[#This Row],[GHSA_Deaths_2023]]-Table13[[#This Row],[FARS_Deaths_2023]])/Table13[[#This Row],[FARS_Deaths_2023]]</f>
        <v>7.6923076923076927E-2</v>
      </c>
      <c r="J29" s="3">
        <f>Table13[[#This Row],[GHSA_Deaths_2023]]/Table13[[#This Row],[Pop_2023]]*100000</f>
        <v>0.70778564206268957</v>
      </c>
      <c r="K29" s="6">
        <f>_xlfn.XLOOKUP($A29 &amp; "|Drove alone", Sheet3!$D:$D, Sheet3!$C:$C, "")</f>
        <v>0.76859999999999995</v>
      </c>
      <c r="L29" s="6">
        <f>_xlfn.XLOOKUP($A29 &amp; "|Public transportation", Sheet3!$D:$D, Sheet3!$C:$C, "")</f>
        <v>4.7000000000000002E-3</v>
      </c>
      <c r="M29" s="6">
        <f>_xlfn.XLOOKUP($A29 &amp; "|Walked", Sheet3!$D:$D, Sheet3!$C:$C, "")</f>
        <v>2.29E-2</v>
      </c>
      <c r="N29" s="6">
        <f>_xlfn.XLOOKUP($A29 &amp; "|Bicycle", Sheet3!$D:$D, Sheet3!$C:$C, "")</f>
        <v>4.1000000000000003E-3</v>
      </c>
      <c r="O29" s="6">
        <f>_xlfn.XLOOKUP($A29 &amp; "|Carpool", Sheet3!$D:$D, Sheet3!$C:$C, "")</f>
        <v>8.5900000000000004E-2</v>
      </c>
      <c r="P29" s="6">
        <f>_xlfn.XLOOKUP($A29 &amp; "|Taxi, motorcycle, or other", Sheet3!$D:$D, Sheet3!$C:$C, "")</f>
        <v>1.2200000000000001E-2</v>
      </c>
      <c r="Q29" s="6">
        <f>_xlfn.XLOOKUP($A29 &amp; "|Worked at home", Sheet3!$D:$D, Sheet3!$C:$C, "")</f>
        <v>0.10150000000000001</v>
      </c>
      <c r="R29" t="s">
        <v>86</v>
      </c>
      <c r="S29" s="8">
        <f>Table13[[#This Row],[Drive_%]]/Table13[[#This Row],[Walk_%]]</f>
        <v>33.563318777292572</v>
      </c>
    </row>
    <row r="30" spans="1:19" x14ac:dyDescent="0.25">
      <c r="A30" t="s">
        <v>5</v>
      </c>
      <c r="B30">
        <v>106</v>
      </c>
      <c r="C30">
        <v>3.32</v>
      </c>
      <c r="D30">
        <v>3194000</v>
      </c>
      <c r="E30" s="1">
        <v>89</v>
      </c>
      <c r="F30" s="1">
        <v>109</v>
      </c>
      <c r="G30" s="5">
        <f>(Table13[[#This Row],[GHSA_Deaths_2023]]-Table13[[#This Row],[GHSA_Deaths_2022]])/Table13[[#This Row],[GHSA_Deaths_2022]]</f>
        <v>0.2247191011235955</v>
      </c>
      <c r="H30">
        <f>Table13[[#This Row],[GHSA_Deaths_2023]]-Table13[[#This Row],[FARS_Deaths_2023]]</f>
        <v>3</v>
      </c>
      <c r="I30" s="4">
        <f>(Table13[[#This Row],[GHSA_Deaths_2023]]-Table13[[#This Row],[FARS_Deaths_2023]])/Table13[[#This Row],[FARS_Deaths_2023]]</f>
        <v>2.8301886792452831E-2</v>
      </c>
      <c r="J30" s="3">
        <f>Table13[[#This Row],[GHSA_Deaths_2023]]/Table13[[#This Row],[Pop_2023]]*100000</f>
        <v>3.4126487163431434</v>
      </c>
      <c r="K30" s="6">
        <f>_xlfn.XLOOKUP($A30 &amp; "|Drove alone", Sheet3!$D:$D, Sheet3!$C:$C, "")</f>
        <v>0.69769999999999999</v>
      </c>
      <c r="L30" s="6">
        <f>_xlfn.XLOOKUP($A30 &amp; "|Public transportation", Sheet3!$D:$D, Sheet3!$C:$C, "")</f>
        <v>2.3099999999999999E-2</v>
      </c>
      <c r="M30" s="6">
        <f>_xlfn.XLOOKUP($A30 &amp; "|Walked", Sheet3!$D:$D, Sheet3!$C:$C, "")</f>
        <v>1.5900000000000001E-2</v>
      </c>
      <c r="N30" s="6">
        <f>_xlfn.XLOOKUP($A30 &amp; "|Bicycle", Sheet3!$D:$D, Sheet3!$C:$C, "")</f>
        <v>3.3999999999999998E-3</v>
      </c>
      <c r="O30" s="6">
        <f>_xlfn.XLOOKUP($A30 &amp; "|Carpool", Sheet3!$D:$D, Sheet3!$C:$C, "")</f>
        <v>0.1212</v>
      </c>
      <c r="P30" s="6">
        <f>_xlfn.XLOOKUP($A30 &amp; "|Taxi, motorcycle, or other", Sheet3!$D:$D, Sheet3!$C:$C, "")</f>
        <v>2.3199999999999998E-2</v>
      </c>
      <c r="Q30" s="6">
        <f>_xlfn.XLOOKUP($A30 &amp; "|Worked at home", Sheet3!$D:$D, Sheet3!$C:$C, "")</f>
        <v>0.11550000000000001</v>
      </c>
      <c r="R30" t="s">
        <v>84</v>
      </c>
      <c r="S30" s="8">
        <f>Table13[[#This Row],[Drive_%]]/Table13[[#This Row],[Walk_%]]</f>
        <v>43.880503144654085</v>
      </c>
    </row>
    <row r="31" spans="1:19" x14ac:dyDescent="0.25">
      <c r="A31" t="s">
        <v>43</v>
      </c>
      <c r="B31">
        <v>15</v>
      </c>
      <c r="C31">
        <v>1.07</v>
      </c>
      <c r="D31">
        <v>1402000</v>
      </c>
      <c r="E31" s="1">
        <v>17</v>
      </c>
      <c r="F31" s="1">
        <v>15</v>
      </c>
      <c r="G31" s="5">
        <f>(Table13[[#This Row],[GHSA_Deaths_2023]]-Table13[[#This Row],[GHSA_Deaths_2022]])/Table13[[#This Row],[GHSA_Deaths_2022]]</f>
        <v>-0.11764705882352941</v>
      </c>
      <c r="H31">
        <f>Table13[[#This Row],[GHSA_Deaths_2023]]-Table13[[#This Row],[FARS_Deaths_2023]]</f>
        <v>0</v>
      </c>
      <c r="I31" s="4">
        <f>(Table13[[#This Row],[GHSA_Deaths_2023]]-Table13[[#This Row],[FARS_Deaths_2023]])/Table13[[#This Row],[FARS_Deaths_2023]]</f>
        <v>0</v>
      </c>
      <c r="J31" s="3">
        <f>Table13[[#This Row],[GHSA_Deaths_2023]]/Table13[[#This Row],[Pop_2023]]*100000</f>
        <v>1.0699001426533523</v>
      </c>
      <c r="K31" s="6">
        <f>_xlfn.XLOOKUP($A31 &amp; "|Drove alone", Sheet3!$D:$D, Sheet3!$C:$C, "")</f>
        <v>0.7208</v>
      </c>
      <c r="L31" s="6">
        <f>_xlfn.XLOOKUP($A31 &amp; "|Public transportation", Sheet3!$D:$D, Sheet3!$C:$C, "")</f>
        <v>6.6E-3</v>
      </c>
      <c r="M31" s="6">
        <f>_xlfn.XLOOKUP($A31 &amp; "|Walked", Sheet3!$D:$D, Sheet3!$C:$C, "")</f>
        <v>2.5600000000000001E-2</v>
      </c>
      <c r="N31" s="6">
        <f>_xlfn.XLOOKUP($A31 &amp; "|Bicycle", Sheet3!$D:$D, Sheet3!$C:$C, "")</f>
        <v>2.3999999999999998E-3</v>
      </c>
      <c r="O31" s="6">
        <f>_xlfn.XLOOKUP($A31 &amp; "|Carpool", Sheet3!$D:$D, Sheet3!$C:$C, "")</f>
        <v>6.8500000000000005E-2</v>
      </c>
      <c r="P31" s="6">
        <f>_xlfn.XLOOKUP($A31 &amp; "|Taxi, motorcycle, or other", Sheet3!$D:$D, Sheet3!$C:$C, "")</f>
        <v>1.4800000000000001E-2</v>
      </c>
      <c r="Q31" s="6">
        <f>_xlfn.XLOOKUP($A31 &amp; "|Worked at home", Sheet3!$D:$D, Sheet3!$C:$C, "")</f>
        <v>0.16139999999999999</v>
      </c>
      <c r="R31" t="s">
        <v>85</v>
      </c>
      <c r="S31" s="8">
        <f>Table13[[#This Row],[Drive_%]]/Table13[[#This Row],[Walk_%]]</f>
        <v>28.15625</v>
      </c>
    </row>
    <row r="32" spans="1:19" x14ac:dyDescent="0.25">
      <c r="A32" t="s">
        <v>25</v>
      </c>
      <c r="B32">
        <v>165</v>
      </c>
      <c r="C32">
        <v>1.78</v>
      </c>
      <c r="D32">
        <v>9291000</v>
      </c>
      <c r="E32" s="1">
        <v>192</v>
      </c>
      <c r="F32" s="1">
        <v>171</v>
      </c>
      <c r="G32" s="5">
        <f>(Table13[[#This Row],[GHSA_Deaths_2023]]-Table13[[#This Row],[GHSA_Deaths_2022]])/Table13[[#This Row],[GHSA_Deaths_2022]]</f>
        <v>-0.109375</v>
      </c>
      <c r="H32">
        <f>Table13[[#This Row],[GHSA_Deaths_2023]]-Table13[[#This Row],[FARS_Deaths_2023]]</f>
        <v>6</v>
      </c>
      <c r="I32" s="4">
        <f>(Table13[[#This Row],[GHSA_Deaths_2023]]-Table13[[#This Row],[FARS_Deaths_2023]])/Table13[[#This Row],[FARS_Deaths_2023]]</f>
        <v>3.6363636363636362E-2</v>
      </c>
      <c r="J32" s="3">
        <f>Table13[[#This Row],[GHSA_Deaths_2023]]/Table13[[#This Row],[Pop_2023]]*100000</f>
        <v>1.8404907975460123</v>
      </c>
      <c r="K32" s="6">
        <f>_xlfn.XLOOKUP($A32 &amp; "|Drove alone", Sheet3!$D:$D, Sheet3!$C:$C, "")</f>
        <v>0.63300000000000001</v>
      </c>
      <c r="L32" s="6">
        <f>_xlfn.XLOOKUP($A32 &amp; "|Public transportation", Sheet3!$D:$D, Sheet3!$C:$C, "")</f>
        <v>9.6000000000000002E-2</v>
      </c>
      <c r="M32" s="6">
        <f>_xlfn.XLOOKUP($A32 &amp; "|Walked", Sheet3!$D:$D, Sheet3!$C:$C, "")</f>
        <v>2.5000000000000001E-2</v>
      </c>
      <c r="N32" s="6">
        <f>_xlfn.XLOOKUP($A32 &amp; "|Bicycle", Sheet3!$D:$D, Sheet3!$C:$C, "")</f>
        <v>3.5000000000000001E-3</v>
      </c>
      <c r="O32" s="6">
        <f>_xlfn.XLOOKUP($A32 &amp; "|Carpool", Sheet3!$D:$D, Sheet3!$C:$C, "")</f>
        <v>8.0199999999999994E-2</v>
      </c>
      <c r="P32" s="6">
        <f>_xlfn.XLOOKUP($A32 &amp; "|Taxi, motorcycle, or other", Sheet3!$D:$D, Sheet3!$C:$C, "")</f>
        <v>2.2100000000000002E-2</v>
      </c>
      <c r="Q32" s="6">
        <f>_xlfn.XLOOKUP($A32 &amp; "|Worked at home", Sheet3!$D:$D, Sheet3!$C:$C, "")</f>
        <v>0.14019999999999999</v>
      </c>
      <c r="R32" t="s">
        <v>85</v>
      </c>
      <c r="S32" s="8">
        <f>Table13[[#This Row],[Drive_%]]/Table13[[#This Row],[Walk_%]]</f>
        <v>25.32</v>
      </c>
    </row>
    <row r="33" spans="1:19" x14ac:dyDescent="0.25">
      <c r="A33" t="s">
        <v>1</v>
      </c>
      <c r="B33">
        <v>105</v>
      </c>
      <c r="C33">
        <v>4.97</v>
      </c>
      <c r="D33">
        <v>2114000</v>
      </c>
      <c r="E33" s="1">
        <v>93</v>
      </c>
      <c r="F33" s="1">
        <v>99</v>
      </c>
      <c r="G33" s="5">
        <f>(Table13[[#This Row],[GHSA_Deaths_2023]]-Table13[[#This Row],[GHSA_Deaths_2022]])/Table13[[#This Row],[GHSA_Deaths_2022]]</f>
        <v>6.4516129032258063E-2</v>
      </c>
      <c r="H33">
        <f>Table13[[#This Row],[GHSA_Deaths_2023]]-Table13[[#This Row],[FARS_Deaths_2023]]</f>
        <v>-6</v>
      </c>
      <c r="I33" s="4">
        <f>(Table13[[#This Row],[GHSA_Deaths_2023]]-Table13[[#This Row],[FARS_Deaths_2023]])/Table13[[#This Row],[FARS_Deaths_2023]]</f>
        <v>-5.7142857142857141E-2</v>
      </c>
      <c r="J33" s="3">
        <f>Table13[[#This Row],[GHSA_Deaths_2023]]/Table13[[#This Row],[Pop_2023]]*100000</f>
        <v>4.6830652790917693</v>
      </c>
      <c r="K33" s="6">
        <f>_xlfn.XLOOKUP($A33 &amp; "|Drove alone", Sheet3!$D:$D, Sheet3!$C:$C, "")</f>
        <v>0.74829999999999997</v>
      </c>
      <c r="L33" s="6">
        <f>_xlfn.XLOOKUP($A33 &amp; "|Public transportation", Sheet3!$D:$D, Sheet3!$C:$C, "")</f>
        <v>7.0000000000000001E-3</v>
      </c>
      <c r="M33" s="6">
        <f>_xlfn.XLOOKUP($A33 &amp; "|Walked", Sheet3!$D:$D, Sheet3!$C:$C, "")</f>
        <v>1.7899999999999999E-2</v>
      </c>
      <c r="N33" s="6">
        <f>_xlfn.XLOOKUP($A33 &amp; "|Bicycle", Sheet3!$D:$D, Sheet3!$C:$C, "")</f>
        <v>6.3E-3</v>
      </c>
      <c r="O33" s="6">
        <f>_xlfn.XLOOKUP($A33 &amp; "|Carpool", Sheet3!$D:$D, Sheet3!$C:$C, "")</f>
        <v>0.10050000000000001</v>
      </c>
      <c r="P33" s="6">
        <f>_xlfn.XLOOKUP($A33 &amp; "|Taxi, motorcycle, or other", Sheet3!$D:$D, Sheet3!$C:$C, "")</f>
        <v>1.3299999999999999E-2</v>
      </c>
      <c r="Q33" s="6">
        <f>_xlfn.XLOOKUP($A33 &amp; "|Worked at home", Sheet3!$D:$D, Sheet3!$C:$C, "")</f>
        <v>0.10680000000000001</v>
      </c>
      <c r="R33" t="s">
        <v>84</v>
      </c>
      <c r="S33" s="8">
        <f>Table13[[#This Row],[Drive_%]]/Table13[[#This Row],[Walk_%]]</f>
        <v>41.804469273743017</v>
      </c>
    </row>
    <row r="34" spans="1:19" x14ac:dyDescent="0.25">
      <c r="A34" t="s">
        <v>34</v>
      </c>
      <c r="B34">
        <v>289</v>
      </c>
      <c r="C34">
        <v>1.48</v>
      </c>
      <c r="D34">
        <v>19571000</v>
      </c>
      <c r="E34" s="1">
        <v>329</v>
      </c>
      <c r="F34" s="1">
        <v>283</v>
      </c>
      <c r="G34" s="5">
        <f>(Table13[[#This Row],[GHSA_Deaths_2023]]-Table13[[#This Row],[GHSA_Deaths_2022]])/Table13[[#This Row],[GHSA_Deaths_2022]]</f>
        <v>-0.1398176291793313</v>
      </c>
      <c r="H34">
        <f>Table13[[#This Row],[GHSA_Deaths_2023]]-Table13[[#This Row],[FARS_Deaths_2023]]</f>
        <v>-6</v>
      </c>
      <c r="I34" s="4">
        <f>(Table13[[#This Row],[GHSA_Deaths_2023]]-Table13[[#This Row],[FARS_Deaths_2023]])/Table13[[#This Row],[FARS_Deaths_2023]]</f>
        <v>-2.0761245674740483E-2</v>
      </c>
      <c r="J34" s="3">
        <f>Table13[[#This Row],[GHSA_Deaths_2023]]/Table13[[#This Row],[Pop_2023]]*100000</f>
        <v>1.4460170660671401</v>
      </c>
      <c r="K34" s="6">
        <f>_xlfn.XLOOKUP($A34 &amp; "|Drove alone", Sheet3!$D:$D, Sheet3!$C:$C, "")</f>
        <v>0.49099999999999999</v>
      </c>
      <c r="L34" s="6">
        <f>_xlfn.XLOOKUP($A34 &amp; "|Public transportation", Sheet3!$D:$D, Sheet3!$C:$C, "")</f>
        <v>0.23519999999999999</v>
      </c>
      <c r="M34" s="6">
        <f>_xlfn.XLOOKUP($A34 &amp; "|Walked", Sheet3!$D:$D, Sheet3!$C:$C, "")</f>
        <v>5.8000000000000003E-2</v>
      </c>
      <c r="N34" s="6">
        <f>_xlfn.XLOOKUP($A34 &amp; "|Bicycle", Sheet3!$D:$D, Sheet3!$C:$C, "")</f>
        <v>8.6999999999999994E-3</v>
      </c>
      <c r="O34" s="6">
        <f>_xlfn.XLOOKUP($A34 &amp; "|Carpool", Sheet3!$D:$D, Sheet3!$C:$C, "")</f>
        <v>6.4100000000000004E-2</v>
      </c>
      <c r="P34" s="6">
        <f>_xlfn.XLOOKUP($A34 &amp; "|Taxi, motorcycle, or other", Sheet3!$D:$D, Sheet3!$C:$C, "")</f>
        <v>1.8800000000000001E-2</v>
      </c>
      <c r="Q34" s="6">
        <f>_xlfn.XLOOKUP($A34 &amp; "|Worked at home", Sheet3!$D:$D, Sheet3!$C:$C, "")</f>
        <v>0.1242</v>
      </c>
      <c r="R34" t="s">
        <v>85</v>
      </c>
      <c r="S34" s="8">
        <f>Table13[[#This Row],[Drive_%]]/Table13[[#This Row],[Walk_%]]</f>
        <v>8.4655172413793096</v>
      </c>
    </row>
    <row r="35" spans="1:19" x14ac:dyDescent="0.25">
      <c r="A35" t="s">
        <v>20</v>
      </c>
      <c r="B35">
        <v>229</v>
      </c>
      <c r="C35">
        <v>2.11</v>
      </c>
      <c r="D35">
        <v>10835000</v>
      </c>
      <c r="E35" s="1">
        <v>265</v>
      </c>
      <c r="F35" s="1">
        <v>248</v>
      </c>
      <c r="G35" s="5">
        <f>(Table13[[#This Row],[GHSA_Deaths_2023]]-Table13[[#This Row],[GHSA_Deaths_2022]])/Table13[[#This Row],[GHSA_Deaths_2022]]</f>
        <v>-6.4150943396226415E-2</v>
      </c>
      <c r="H35">
        <f>Table13[[#This Row],[GHSA_Deaths_2023]]-Table13[[#This Row],[FARS_Deaths_2023]]</f>
        <v>19</v>
      </c>
      <c r="I35" s="4">
        <f>(Table13[[#This Row],[GHSA_Deaths_2023]]-Table13[[#This Row],[FARS_Deaths_2023]])/Table13[[#This Row],[FARS_Deaths_2023]]</f>
        <v>8.296943231441048E-2</v>
      </c>
      <c r="J35" s="3">
        <f>Table13[[#This Row],[GHSA_Deaths_2023]]/Table13[[#This Row],[Pop_2023]]*100000</f>
        <v>2.288878634056299</v>
      </c>
      <c r="K35" s="6">
        <f>_xlfn.XLOOKUP($A35 &amp; "|Drove alone", Sheet3!$D:$D, Sheet3!$C:$C, "")</f>
        <v>0.71299999999999997</v>
      </c>
      <c r="L35" s="6">
        <f>_xlfn.XLOOKUP($A35 &amp; "|Public transportation", Sheet3!$D:$D, Sheet3!$C:$C, "")</f>
        <v>6.4000000000000003E-3</v>
      </c>
      <c r="M35" s="6">
        <f>_xlfn.XLOOKUP($A35 &amp; "|Walked", Sheet3!$D:$D, Sheet3!$C:$C, "")</f>
        <v>1.7500000000000002E-2</v>
      </c>
      <c r="N35" s="6">
        <f>_xlfn.XLOOKUP($A35 &amp; "|Bicycle", Sheet3!$D:$D, Sheet3!$C:$C, "")</f>
        <v>2.3E-3</v>
      </c>
      <c r="O35" s="6">
        <f>_xlfn.XLOOKUP($A35 &amp; "|Carpool", Sheet3!$D:$D, Sheet3!$C:$C, "")</f>
        <v>8.5400000000000004E-2</v>
      </c>
      <c r="P35" s="6">
        <f>_xlfn.XLOOKUP($A35 &amp; "|Taxi, motorcycle, or other", Sheet3!$D:$D, Sheet3!$C:$C, "")</f>
        <v>1.41E-2</v>
      </c>
      <c r="Q35" s="6">
        <f>_xlfn.XLOOKUP($A35 &amp; "|Worked at home", Sheet3!$D:$D, Sheet3!$C:$C, "")</f>
        <v>0.1613</v>
      </c>
      <c r="R35" t="s">
        <v>83</v>
      </c>
      <c r="S35" s="8">
        <f>Table13[[#This Row],[Drive_%]]/Table13[[#This Row],[Walk_%]]</f>
        <v>40.74285714285714</v>
      </c>
    </row>
    <row r="36" spans="1:19" x14ac:dyDescent="0.25">
      <c r="A36" t="s">
        <v>40</v>
      </c>
      <c r="B36">
        <v>10</v>
      </c>
      <c r="C36">
        <v>1.28</v>
      </c>
      <c r="D36">
        <v>784000</v>
      </c>
      <c r="E36" s="1">
        <v>6</v>
      </c>
      <c r="F36" s="1">
        <v>10</v>
      </c>
      <c r="G36" s="5">
        <f>(Table13[[#This Row],[GHSA_Deaths_2023]]-Table13[[#This Row],[GHSA_Deaths_2022]])/Table13[[#This Row],[GHSA_Deaths_2022]]</f>
        <v>0.66666666666666663</v>
      </c>
      <c r="H36">
        <f>Table13[[#This Row],[GHSA_Deaths_2023]]-Table13[[#This Row],[FARS_Deaths_2023]]</f>
        <v>0</v>
      </c>
      <c r="I36" s="4">
        <f>(Table13[[#This Row],[GHSA_Deaths_2023]]-Table13[[#This Row],[FARS_Deaths_2023]])/Table13[[#This Row],[FARS_Deaths_2023]]</f>
        <v>0</v>
      </c>
      <c r="J36" s="3">
        <f>Table13[[#This Row],[GHSA_Deaths_2023]]/Table13[[#This Row],[Pop_2023]]*100000</f>
        <v>1.2755102040816326</v>
      </c>
      <c r="K36" s="6">
        <f>_xlfn.XLOOKUP($A36 &amp; "|Drove alone", Sheet3!$D:$D, Sheet3!$C:$C, "")</f>
        <v>0.76659999999999995</v>
      </c>
      <c r="L36" s="6">
        <f>_xlfn.XLOOKUP($A36 &amp; "|Public transportation", Sheet3!$D:$D, Sheet3!$C:$C, "")</f>
        <v>1.6000000000000001E-3</v>
      </c>
      <c r="M36" s="6">
        <f>_xlfn.XLOOKUP($A36 &amp; "|Walked", Sheet3!$D:$D, Sheet3!$C:$C, "")</f>
        <v>3.0800000000000001E-2</v>
      </c>
      <c r="N36" s="6">
        <f>_xlfn.XLOOKUP($A36 &amp; "|Bicycle", Sheet3!$D:$D, Sheet3!$C:$C, "")</f>
        <v>2.0999999999999999E-3</v>
      </c>
      <c r="O36" s="6">
        <f>_xlfn.XLOOKUP($A36 &amp; "|Carpool", Sheet3!$D:$D, Sheet3!$C:$C, "")</f>
        <v>0.1009</v>
      </c>
      <c r="P36" s="6">
        <f>_xlfn.XLOOKUP($A36 &amp; "|Taxi, motorcycle, or other", Sheet3!$D:$D, Sheet3!$C:$C, "")</f>
        <v>1.54E-2</v>
      </c>
      <c r="Q36" s="6">
        <f>_xlfn.XLOOKUP($A36 &amp; "|Worked at home", Sheet3!$D:$D, Sheet3!$C:$C, "")</f>
        <v>8.2600000000000007E-2</v>
      </c>
      <c r="R36" t="s">
        <v>86</v>
      </c>
      <c r="S36" s="8">
        <f>Table13[[#This Row],[Drive_%]]/Table13[[#This Row],[Walk_%]]</f>
        <v>24.889610389610386</v>
      </c>
    </row>
    <row r="37" spans="1:19" x14ac:dyDescent="0.25">
      <c r="A37" t="s">
        <v>41</v>
      </c>
      <c r="B37">
        <v>145</v>
      </c>
      <c r="C37">
        <v>1.23</v>
      </c>
      <c r="D37">
        <v>11786000</v>
      </c>
      <c r="E37" s="1">
        <v>165</v>
      </c>
      <c r="F37" s="1">
        <v>151</v>
      </c>
      <c r="G37" s="5">
        <f>(Table13[[#This Row],[GHSA_Deaths_2023]]-Table13[[#This Row],[GHSA_Deaths_2022]])/Table13[[#This Row],[GHSA_Deaths_2022]]</f>
        <v>-8.4848484848484854E-2</v>
      </c>
      <c r="H37">
        <f>Table13[[#This Row],[GHSA_Deaths_2023]]-Table13[[#This Row],[FARS_Deaths_2023]]</f>
        <v>6</v>
      </c>
      <c r="I37" s="4">
        <f>(Table13[[#This Row],[GHSA_Deaths_2023]]-Table13[[#This Row],[FARS_Deaths_2023]])/Table13[[#This Row],[FARS_Deaths_2023]]</f>
        <v>4.1379310344827586E-2</v>
      </c>
      <c r="J37" s="3">
        <f>Table13[[#This Row],[GHSA_Deaths_2023]]/Table13[[#This Row],[Pop_2023]]*100000</f>
        <v>1.2811810622772781</v>
      </c>
      <c r="K37" s="6">
        <f>_xlfn.XLOOKUP($A37 &amp; "|Drove alone", Sheet3!$D:$D, Sheet3!$C:$C, "")</f>
        <v>0.75439999999999996</v>
      </c>
      <c r="L37" s="6">
        <f>_xlfn.XLOOKUP($A37 &amp; "|Public transportation", Sheet3!$D:$D, Sheet3!$C:$C, "")</f>
        <v>1.12E-2</v>
      </c>
      <c r="M37" s="6">
        <f>_xlfn.XLOOKUP($A37 &amp; "|Walked", Sheet3!$D:$D, Sheet3!$C:$C, "")</f>
        <v>2.01E-2</v>
      </c>
      <c r="N37" s="6">
        <f>_xlfn.XLOOKUP($A37 &amp; "|Bicycle", Sheet3!$D:$D, Sheet3!$C:$C, "")</f>
        <v>3.0000000000000001E-3</v>
      </c>
      <c r="O37" s="6">
        <f>_xlfn.XLOOKUP($A37 &amp; "|Carpool", Sheet3!$D:$D, Sheet3!$C:$C, "")</f>
        <v>8.09E-2</v>
      </c>
      <c r="P37" s="6">
        <f>_xlfn.XLOOKUP($A37 &amp; "|Taxi, motorcycle, or other", Sheet3!$D:$D, Sheet3!$C:$C, "")</f>
        <v>1.15E-2</v>
      </c>
      <c r="Q37" s="6">
        <f>_xlfn.XLOOKUP($A37 &amp; "|Worked at home", Sheet3!$D:$D, Sheet3!$C:$C, "")</f>
        <v>0.1188</v>
      </c>
      <c r="R37" t="s">
        <v>86</v>
      </c>
      <c r="S37" s="8">
        <f>Table13[[#This Row],[Drive_%]]/Table13[[#This Row],[Walk_%]]</f>
        <v>37.53233830845771</v>
      </c>
    </row>
    <row r="38" spans="1:19" x14ac:dyDescent="0.25">
      <c r="A38" t="s">
        <v>18</v>
      </c>
      <c r="B38">
        <v>87</v>
      </c>
      <c r="C38">
        <v>2.15</v>
      </c>
      <c r="D38">
        <v>4054000</v>
      </c>
      <c r="E38" s="1">
        <v>96</v>
      </c>
      <c r="F38" s="1">
        <v>72</v>
      </c>
      <c r="G38" s="5">
        <f>(Table13[[#This Row],[GHSA_Deaths_2023]]-Table13[[#This Row],[GHSA_Deaths_2022]])/Table13[[#This Row],[GHSA_Deaths_2022]]</f>
        <v>-0.25</v>
      </c>
      <c r="H38">
        <f>Table13[[#This Row],[GHSA_Deaths_2023]]-Table13[[#This Row],[FARS_Deaths_2023]]</f>
        <v>-15</v>
      </c>
      <c r="I38" s="4">
        <f>(Table13[[#This Row],[GHSA_Deaths_2023]]-Table13[[#This Row],[FARS_Deaths_2023]])/Table13[[#This Row],[FARS_Deaths_2023]]</f>
        <v>-0.17241379310344829</v>
      </c>
      <c r="J38" s="3">
        <f>Table13[[#This Row],[GHSA_Deaths_2023]]/Table13[[#This Row],[Pop_2023]]*100000</f>
        <v>1.7760236803157374</v>
      </c>
      <c r="K38" s="6">
        <f>_xlfn.XLOOKUP($A38 &amp; "|Drove alone", Sheet3!$D:$D, Sheet3!$C:$C, "")</f>
        <v>0.77359999999999995</v>
      </c>
      <c r="L38" s="6">
        <f>_xlfn.XLOOKUP($A38 &amp; "|Public transportation", Sheet3!$D:$D, Sheet3!$C:$C, "")</f>
        <v>2.8E-3</v>
      </c>
      <c r="M38" s="6">
        <f>_xlfn.XLOOKUP($A38 &amp; "|Walked", Sheet3!$D:$D, Sheet3!$C:$C, "")</f>
        <v>1.8100000000000002E-2</v>
      </c>
      <c r="N38" s="6">
        <f>_xlfn.XLOOKUP($A38 &amp; "|Bicycle", Sheet3!$D:$D, Sheet3!$C:$C, "")</f>
        <v>2.2000000000000001E-3</v>
      </c>
      <c r="O38" s="6">
        <f>_xlfn.XLOOKUP($A38 &amp; "|Carpool", Sheet3!$D:$D, Sheet3!$C:$C, "")</f>
        <v>9.9500000000000005E-2</v>
      </c>
      <c r="P38" s="6">
        <f>_xlfn.XLOOKUP($A38 &amp; "|Taxi, motorcycle, or other", Sheet3!$D:$D, Sheet3!$C:$C, "")</f>
        <v>1.2800000000000001E-2</v>
      </c>
      <c r="Q38" s="6">
        <f>_xlfn.XLOOKUP($A38 &amp; "|Worked at home", Sheet3!$D:$D, Sheet3!$C:$C, "")</f>
        <v>9.0999999999999998E-2</v>
      </c>
      <c r="R38" t="s">
        <v>83</v>
      </c>
      <c r="S38" s="8">
        <f>Table13[[#This Row],[Drive_%]]/Table13[[#This Row],[Walk_%]]</f>
        <v>42.740331491712702</v>
      </c>
    </row>
    <row r="39" spans="1:19" x14ac:dyDescent="0.25">
      <c r="A39" t="s">
        <v>17</v>
      </c>
      <c r="B39">
        <v>101</v>
      </c>
      <c r="C39">
        <v>2.39</v>
      </c>
      <c r="D39">
        <v>4233000</v>
      </c>
      <c r="E39" s="1">
        <v>127</v>
      </c>
      <c r="F39" s="1">
        <v>108</v>
      </c>
      <c r="G39" s="5">
        <f>(Table13[[#This Row],[GHSA_Deaths_2023]]-Table13[[#This Row],[GHSA_Deaths_2022]])/Table13[[#This Row],[GHSA_Deaths_2022]]</f>
        <v>-0.14960629921259844</v>
      </c>
      <c r="H39">
        <f>Table13[[#This Row],[GHSA_Deaths_2023]]-Table13[[#This Row],[FARS_Deaths_2023]]</f>
        <v>7</v>
      </c>
      <c r="I39" s="4">
        <f>(Table13[[#This Row],[GHSA_Deaths_2023]]-Table13[[#This Row],[FARS_Deaths_2023]])/Table13[[#This Row],[FARS_Deaths_2023]]</f>
        <v>6.9306930693069313E-2</v>
      </c>
      <c r="J39" s="3">
        <f>Table13[[#This Row],[GHSA_Deaths_2023]]/Table13[[#This Row],[Pop_2023]]*100000</f>
        <v>2.5513819985825656</v>
      </c>
      <c r="K39" s="6">
        <f>_xlfn.XLOOKUP($A39 &amp; "|Drove alone", Sheet3!$D:$D, Sheet3!$C:$C, "")</f>
        <v>0.64590000000000003</v>
      </c>
      <c r="L39" s="6">
        <f>_xlfn.XLOOKUP($A39 &amp; "|Public transportation", Sheet3!$D:$D, Sheet3!$C:$C, "")</f>
        <v>2.24E-2</v>
      </c>
      <c r="M39" s="6">
        <f>_xlfn.XLOOKUP($A39 &amp; "|Walked", Sheet3!$D:$D, Sheet3!$C:$C, "")</f>
        <v>3.4299999999999997E-2</v>
      </c>
      <c r="N39" s="6">
        <f>_xlfn.XLOOKUP($A39 &amp; "|Bicycle", Sheet3!$D:$D, Sheet3!$C:$C, "")</f>
        <v>1.32E-2</v>
      </c>
      <c r="O39" s="6">
        <f>_xlfn.XLOOKUP($A39 &amp; "|Carpool", Sheet3!$D:$D, Sheet3!$C:$C, "")</f>
        <v>9.35E-2</v>
      </c>
      <c r="P39" s="6">
        <f>_xlfn.XLOOKUP($A39 &amp; "|Taxi, motorcycle, or other", Sheet3!$D:$D, Sheet3!$C:$C, "")</f>
        <v>1.41E-2</v>
      </c>
      <c r="Q39" s="6">
        <f>_xlfn.XLOOKUP($A39 &amp; "|Worked at home", Sheet3!$D:$D, Sheet3!$C:$C, "")</f>
        <v>0.17660000000000001</v>
      </c>
      <c r="R39" t="s">
        <v>84</v>
      </c>
      <c r="S39" s="8">
        <f>Table13[[#This Row],[Drive_%]]/Table13[[#This Row],[Walk_%]]</f>
        <v>18.830903790087465</v>
      </c>
    </row>
    <row r="40" spans="1:19" x14ac:dyDescent="0.25">
      <c r="A40" t="s">
        <v>35</v>
      </c>
      <c r="B40">
        <v>185</v>
      </c>
      <c r="C40">
        <v>1.43</v>
      </c>
      <c r="D40">
        <v>12962000</v>
      </c>
      <c r="E40" s="1">
        <v>184</v>
      </c>
      <c r="F40" s="1">
        <v>192</v>
      </c>
      <c r="G40" s="5">
        <f>(Table13[[#This Row],[GHSA_Deaths_2023]]-Table13[[#This Row],[GHSA_Deaths_2022]])/Table13[[#This Row],[GHSA_Deaths_2022]]</f>
        <v>4.3478260869565216E-2</v>
      </c>
      <c r="H40">
        <f>Table13[[#This Row],[GHSA_Deaths_2023]]-Table13[[#This Row],[FARS_Deaths_2023]]</f>
        <v>7</v>
      </c>
      <c r="I40" s="4">
        <f>(Table13[[#This Row],[GHSA_Deaths_2023]]-Table13[[#This Row],[FARS_Deaths_2023]])/Table13[[#This Row],[FARS_Deaths_2023]]</f>
        <v>3.783783783783784E-2</v>
      </c>
      <c r="J40" s="3">
        <f>Table13[[#This Row],[GHSA_Deaths_2023]]/Table13[[#This Row],[Pop_2023]]*100000</f>
        <v>1.4812528930720568</v>
      </c>
      <c r="K40" s="6">
        <f>_xlfn.XLOOKUP($A40 &amp; "|Drove alone", Sheet3!$D:$D, Sheet3!$C:$C, "")</f>
        <v>0.68489999999999995</v>
      </c>
      <c r="L40" s="6">
        <f>_xlfn.XLOOKUP($A40 &amp; "|Public transportation", Sheet3!$D:$D, Sheet3!$C:$C, "")</f>
        <v>3.8199999999999998E-2</v>
      </c>
      <c r="M40" s="6">
        <f>_xlfn.XLOOKUP($A40 &amp; "|Walked", Sheet3!$D:$D, Sheet3!$C:$C, "")</f>
        <v>3.4799999999999998E-2</v>
      </c>
      <c r="N40" s="6">
        <f>_xlfn.XLOOKUP($A40 &amp; "|Bicycle", Sheet3!$D:$D, Sheet3!$C:$C, "")</f>
        <v>4.7999999999999996E-3</v>
      </c>
      <c r="O40" s="6">
        <f>_xlfn.XLOOKUP($A40 &amp; "|Carpool", Sheet3!$D:$D, Sheet3!$C:$C, "")</f>
        <v>8.2400000000000001E-2</v>
      </c>
      <c r="P40" s="6">
        <f>_xlfn.XLOOKUP($A40 &amp; "|Taxi, motorcycle, or other", Sheet3!$D:$D, Sheet3!$C:$C, "")</f>
        <v>1.3599999999999999E-2</v>
      </c>
      <c r="Q40" s="6">
        <f>_xlfn.XLOOKUP($A40 &amp; "|Worked at home", Sheet3!$D:$D, Sheet3!$C:$C, "")</f>
        <v>0.14130000000000001</v>
      </c>
      <c r="R40" t="s">
        <v>85</v>
      </c>
      <c r="S40" s="8">
        <f>Table13[[#This Row],[Drive_%]]/Table13[[#This Row],[Walk_%]]</f>
        <v>19.681034482758619</v>
      </c>
    </row>
    <row r="41" spans="1:19" x14ac:dyDescent="0.25">
      <c r="A41" t="s">
        <v>44</v>
      </c>
      <c r="B41">
        <v>11</v>
      </c>
      <c r="C41">
        <v>1</v>
      </c>
      <c r="D41">
        <v>1096000</v>
      </c>
      <c r="E41" s="1">
        <v>7</v>
      </c>
      <c r="F41" s="1">
        <v>11</v>
      </c>
      <c r="G41" s="5">
        <f>(Table13[[#This Row],[GHSA_Deaths_2023]]-Table13[[#This Row],[GHSA_Deaths_2022]])/Table13[[#This Row],[GHSA_Deaths_2022]]</f>
        <v>0.5714285714285714</v>
      </c>
      <c r="H41">
        <f>Table13[[#This Row],[GHSA_Deaths_2023]]-Table13[[#This Row],[FARS_Deaths_2023]]</f>
        <v>0</v>
      </c>
      <c r="I41" s="4">
        <f>(Table13[[#This Row],[GHSA_Deaths_2023]]-Table13[[#This Row],[FARS_Deaths_2023]])/Table13[[#This Row],[FARS_Deaths_2023]]</f>
        <v>0</v>
      </c>
      <c r="J41" s="3">
        <f>Table13[[#This Row],[GHSA_Deaths_2023]]/Table13[[#This Row],[Pop_2023]]*100000</f>
        <v>1.0036496350364963</v>
      </c>
      <c r="K41" s="6">
        <f>_xlfn.XLOOKUP($A41 &amp; "|Drove alone", Sheet3!$D:$D, Sheet3!$C:$C, "")</f>
        <v>0.72960000000000003</v>
      </c>
      <c r="L41" s="6">
        <f>_xlfn.XLOOKUP($A41 &amp; "|Public transportation", Sheet3!$D:$D, Sheet3!$C:$C, "")</f>
        <v>1.8800000000000001E-2</v>
      </c>
      <c r="M41" s="6">
        <f>_xlfn.XLOOKUP($A41 &amp; "|Walked", Sheet3!$D:$D, Sheet3!$C:$C, "")</f>
        <v>3.04E-2</v>
      </c>
      <c r="N41" s="6">
        <f>_xlfn.XLOOKUP($A41 &amp; "|Bicycle", Sheet3!$D:$D, Sheet3!$C:$C, "")</f>
        <v>2.2000000000000001E-3</v>
      </c>
      <c r="O41" s="6">
        <f>_xlfn.XLOOKUP($A41 &amp; "|Carpool", Sheet3!$D:$D, Sheet3!$C:$C, "")</f>
        <v>7.5999999999999998E-2</v>
      </c>
      <c r="P41" s="6">
        <f>_xlfn.XLOOKUP($A41 &amp; "|Taxi, motorcycle, or other", Sheet3!$D:$D, Sheet3!$C:$C, "")</f>
        <v>2.4799999999999999E-2</v>
      </c>
      <c r="Q41" s="6">
        <f>_xlfn.XLOOKUP($A41 &amp; "|Worked at home", Sheet3!$D:$D, Sheet3!$C:$C, "")</f>
        <v>0.1182</v>
      </c>
      <c r="R41" t="s">
        <v>85</v>
      </c>
      <c r="S41" s="8">
        <f>Table13[[#This Row],[Drive_%]]/Table13[[#This Row],[Walk_%]]</f>
        <v>24</v>
      </c>
    </row>
    <row r="42" spans="1:19" x14ac:dyDescent="0.25">
      <c r="A42" t="s">
        <v>3</v>
      </c>
      <c r="B42">
        <v>187</v>
      </c>
      <c r="C42">
        <v>3.48</v>
      </c>
      <c r="D42">
        <v>5374000</v>
      </c>
      <c r="E42" s="1">
        <v>173</v>
      </c>
      <c r="F42" s="1">
        <v>182</v>
      </c>
      <c r="G42" s="5">
        <f>(Table13[[#This Row],[GHSA_Deaths_2023]]-Table13[[#This Row],[GHSA_Deaths_2022]])/Table13[[#This Row],[GHSA_Deaths_2022]]</f>
        <v>5.2023121387283239E-2</v>
      </c>
      <c r="H42">
        <f>Table13[[#This Row],[GHSA_Deaths_2023]]-Table13[[#This Row],[FARS_Deaths_2023]]</f>
        <v>-5</v>
      </c>
      <c r="I42" s="4">
        <f>(Table13[[#This Row],[GHSA_Deaths_2023]]-Table13[[#This Row],[FARS_Deaths_2023]])/Table13[[#This Row],[FARS_Deaths_2023]]</f>
        <v>-2.6737967914438502E-2</v>
      </c>
      <c r="J42" s="3">
        <f>Table13[[#This Row],[GHSA_Deaths_2023]]/Table13[[#This Row],[Pop_2023]]*100000</f>
        <v>3.3866765909936736</v>
      </c>
      <c r="K42" s="6">
        <f>_xlfn.XLOOKUP($A42 &amp; "|Drove alone", Sheet3!$D:$D, Sheet3!$C:$C, "")</f>
        <v>0.76080000000000003</v>
      </c>
      <c r="L42" s="6">
        <f>_xlfn.XLOOKUP($A42 &amp; "|Public transportation", Sheet3!$D:$D, Sheet3!$C:$C, "")</f>
        <v>3.5999999999999999E-3</v>
      </c>
      <c r="M42" s="6">
        <f>_xlfn.XLOOKUP($A42 &amp; "|Walked", Sheet3!$D:$D, Sheet3!$C:$C, "")</f>
        <v>1.52E-2</v>
      </c>
      <c r="N42" s="6">
        <f>_xlfn.XLOOKUP($A42 &amp; "|Bicycle", Sheet3!$D:$D, Sheet3!$C:$C, "")</f>
        <v>1.4E-3</v>
      </c>
      <c r="O42" s="6">
        <f>_xlfn.XLOOKUP($A42 &amp; "|Carpool", Sheet3!$D:$D, Sheet3!$C:$C, "")</f>
        <v>8.6900000000000005E-2</v>
      </c>
      <c r="P42" s="6">
        <f>_xlfn.XLOOKUP($A42 &amp; "|Taxi, motorcycle, or other", Sheet3!$D:$D, Sheet3!$C:$C, "")</f>
        <v>1.38E-2</v>
      </c>
      <c r="Q42" s="6">
        <f>_xlfn.XLOOKUP($A42 &amp; "|Worked at home", Sheet3!$D:$D, Sheet3!$C:$C, "")</f>
        <v>0.1182</v>
      </c>
      <c r="R42" t="s">
        <v>83</v>
      </c>
      <c r="S42" s="8">
        <f>Table13[[#This Row],[Drive_%]]/Table13[[#This Row],[Walk_%]]</f>
        <v>50.05263157894737</v>
      </c>
    </row>
    <row r="43" spans="1:19" x14ac:dyDescent="0.25">
      <c r="A43" t="s">
        <v>29</v>
      </c>
      <c r="B43">
        <v>15</v>
      </c>
      <c r="C43">
        <v>1.63</v>
      </c>
      <c r="D43">
        <v>919000</v>
      </c>
      <c r="E43" s="1">
        <v>13</v>
      </c>
      <c r="F43" s="1">
        <v>15</v>
      </c>
      <c r="G43" s="5">
        <f>(Table13[[#This Row],[GHSA_Deaths_2023]]-Table13[[#This Row],[GHSA_Deaths_2022]])/Table13[[#This Row],[GHSA_Deaths_2022]]</f>
        <v>0.15384615384615385</v>
      </c>
      <c r="H43">
        <f>Table13[[#This Row],[GHSA_Deaths_2023]]-Table13[[#This Row],[FARS_Deaths_2023]]</f>
        <v>0</v>
      </c>
      <c r="I43" s="4">
        <f>(Table13[[#This Row],[GHSA_Deaths_2023]]-Table13[[#This Row],[FARS_Deaths_2023]])/Table13[[#This Row],[FARS_Deaths_2023]]</f>
        <v>0</v>
      </c>
      <c r="J43" s="3">
        <f>Table13[[#This Row],[GHSA_Deaths_2023]]/Table13[[#This Row],[Pop_2023]]*100000</f>
        <v>1.632208922742111</v>
      </c>
      <c r="K43" s="6">
        <f>_xlfn.XLOOKUP($A43 &amp; "|Drove alone", Sheet3!$D:$D, Sheet3!$C:$C, "")</f>
        <v>0.7601</v>
      </c>
      <c r="L43" s="6">
        <f>_xlfn.XLOOKUP($A43 &amp; "|Public transportation", Sheet3!$D:$D, Sheet3!$C:$C, "")</f>
        <v>7.3000000000000001E-3</v>
      </c>
      <c r="M43" s="6">
        <f>_xlfn.XLOOKUP($A43 &amp; "|Walked", Sheet3!$D:$D, Sheet3!$C:$C, "")</f>
        <v>3.0599999999999999E-2</v>
      </c>
      <c r="N43" s="6">
        <f>_xlfn.XLOOKUP($A43 &amp; "|Bicycle", Sheet3!$D:$D, Sheet3!$C:$C, "")</f>
        <v>2.7000000000000001E-3</v>
      </c>
      <c r="O43" s="6">
        <f>_xlfn.XLOOKUP($A43 &amp; "|Carpool", Sheet3!$D:$D, Sheet3!$C:$C, "")</f>
        <v>9.0700000000000003E-2</v>
      </c>
      <c r="P43" s="6">
        <f>_xlfn.XLOOKUP($A43 &amp; "|Taxi, motorcycle, or other", Sheet3!$D:$D, Sheet3!$C:$C, "")</f>
        <v>1.0800000000000001E-2</v>
      </c>
      <c r="Q43" s="6">
        <f>_xlfn.XLOOKUP($A43 &amp; "|Worked at home", Sheet3!$D:$D, Sheet3!$C:$C, "")</f>
        <v>9.7799999999999998E-2</v>
      </c>
      <c r="R43" t="s">
        <v>86</v>
      </c>
      <c r="S43" s="8">
        <f>Table13[[#This Row],[Drive_%]]/Table13[[#This Row],[Walk_%]]</f>
        <v>24.839869281045754</v>
      </c>
    </row>
    <row r="44" spans="1:19" x14ac:dyDescent="0.25">
      <c r="A44" t="s">
        <v>13</v>
      </c>
      <c r="B44">
        <v>186</v>
      </c>
      <c r="C44">
        <v>2.61</v>
      </c>
      <c r="D44">
        <v>7126000</v>
      </c>
      <c r="E44" s="1">
        <v>210</v>
      </c>
      <c r="F44" s="1">
        <v>187</v>
      </c>
      <c r="G44" s="5">
        <f>(Table13[[#This Row],[GHSA_Deaths_2023]]-Table13[[#This Row],[GHSA_Deaths_2022]])/Table13[[#This Row],[GHSA_Deaths_2022]]</f>
        <v>-0.10952380952380952</v>
      </c>
      <c r="H44">
        <f>Table13[[#This Row],[GHSA_Deaths_2023]]-Table13[[#This Row],[FARS_Deaths_2023]]</f>
        <v>1</v>
      </c>
      <c r="I44" s="4">
        <f>(Table13[[#This Row],[GHSA_Deaths_2023]]-Table13[[#This Row],[FARS_Deaths_2023]])/Table13[[#This Row],[FARS_Deaths_2023]]</f>
        <v>5.3763440860215058E-3</v>
      </c>
      <c r="J44" s="3">
        <f>Table13[[#This Row],[GHSA_Deaths_2023]]/Table13[[#This Row],[Pop_2023]]*100000</f>
        <v>2.6241930957058659</v>
      </c>
      <c r="K44" s="6">
        <f>_xlfn.XLOOKUP($A44 &amp; "|Drove alone", Sheet3!$D:$D, Sheet3!$C:$C, "")</f>
        <v>0.75749999999999995</v>
      </c>
      <c r="L44" s="6">
        <f>_xlfn.XLOOKUP($A44 &amp; "|Public transportation", Sheet3!$D:$D, Sheet3!$C:$C, "")</f>
        <v>4.8999999999999998E-3</v>
      </c>
      <c r="M44" s="6">
        <f>_xlfn.XLOOKUP($A44 &amp; "|Walked", Sheet3!$D:$D, Sheet3!$C:$C, "")</f>
        <v>1.4500000000000001E-2</v>
      </c>
      <c r="N44" s="6">
        <f>_xlfn.XLOOKUP($A44 &amp; "|Bicycle", Sheet3!$D:$D, Sheet3!$C:$C, "")</f>
        <v>1.1000000000000001E-3</v>
      </c>
      <c r="O44" s="6">
        <f>_xlfn.XLOOKUP($A44 &amp; "|Carpool", Sheet3!$D:$D, Sheet3!$C:$C, "")</f>
        <v>8.2900000000000001E-2</v>
      </c>
      <c r="P44" s="6">
        <f>_xlfn.XLOOKUP($A44 &amp; "|Taxi, motorcycle, or other", Sheet3!$D:$D, Sheet3!$C:$C, "")</f>
        <v>1.09E-2</v>
      </c>
      <c r="Q44" s="6">
        <f>_xlfn.XLOOKUP($A44 &amp; "|Worked at home", Sheet3!$D:$D, Sheet3!$C:$C, "")</f>
        <v>0.12820000000000001</v>
      </c>
      <c r="R44" t="s">
        <v>83</v>
      </c>
      <c r="S44" s="8">
        <f>Table13[[#This Row],[Drive_%]]/Table13[[#This Row],[Walk_%]]</f>
        <v>52.241379310344819</v>
      </c>
    </row>
    <row r="45" spans="1:19" x14ac:dyDescent="0.25">
      <c r="A45" t="s">
        <v>11</v>
      </c>
      <c r="B45">
        <v>800</v>
      </c>
      <c r="C45">
        <v>2.62</v>
      </c>
      <c r="D45">
        <v>30503000</v>
      </c>
      <c r="E45" s="1">
        <v>816</v>
      </c>
      <c r="F45" s="1">
        <v>804</v>
      </c>
      <c r="G45" s="5">
        <f>(Table13[[#This Row],[GHSA_Deaths_2023]]-Table13[[#This Row],[GHSA_Deaths_2022]])/Table13[[#This Row],[GHSA_Deaths_2022]]</f>
        <v>-1.4705882352941176E-2</v>
      </c>
      <c r="H45">
        <f>Table13[[#This Row],[GHSA_Deaths_2023]]-Table13[[#This Row],[FARS_Deaths_2023]]</f>
        <v>4</v>
      </c>
      <c r="I45" s="4">
        <f>(Table13[[#This Row],[GHSA_Deaths_2023]]-Table13[[#This Row],[FARS_Deaths_2023]])/Table13[[#This Row],[FARS_Deaths_2023]]</f>
        <v>5.0000000000000001E-3</v>
      </c>
      <c r="J45" s="3">
        <f>Table13[[#This Row],[GHSA_Deaths_2023]]/Table13[[#This Row],[Pop_2023]]*100000</f>
        <v>2.6358063141330361</v>
      </c>
      <c r="K45" s="6">
        <f>_xlfn.XLOOKUP($A45 &amp; "|Drove alone", Sheet3!$D:$D, Sheet3!$C:$C, "")</f>
        <v>0.71650000000000003</v>
      </c>
      <c r="L45" s="6">
        <f>_xlfn.XLOOKUP($A45 &amp; "|Public transportation", Sheet3!$D:$D, Sheet3!$C:$C, "")</f>
        <v>8.8000000000000005E-3</v>
      </c>
      <c r="M45" s="6">
        <f>_xlfn.XLOOKUP($A45 &amp; "|Walked", Sheet3!$D:$D, Sheet3!$C:$C, "")</f>
        <v>1.43E-2</v>
      </c>
      <c r="N45" s="6">
        <f>_xlfn.XLOOKUP($A45 &amp; "|Bicycle", Sheet3!$D:$D, Sheet3!$C:$C, "")</f>
        <v>1.8E-3</v>
      </c>
      <c r="O45" s="6">
        <f>_xlfn.XLOOKUP($A45 &amp; "|Carpool", Sheet3!$D:$D, Sheet3!$C:$C, "")</f>
        <v>0.10580000000000001</v>
      </c>
      <c r="P45" s="6">
        <f>_xlfn.XLOOKUP($A45 &amp; "|Taxi, motorcycle, or other", Sheet3!$D:$D, Sheet3!$C:$C, "")</f>
        <v>1.6199999999999999E-2</v>
      </c>
      <c r="Q45" s="6">
        <f>_xlfn.XLOOKUP($A45 &amp; "|Worked at home", Sheet3!$D:$D, Sheet3!$C:$C, "")</f>
        <v>0.1366</v>
      </c>
      <c r="R45" t="s">
        <v>83</v>
      </c>
      <c r="S45" s="8">
        <f>Table13[[#This Row],[Drive_%]]/Table13[[#This Row],[Walk_%]]</f>
        <v>50.104895104895107</v>
      </c>
    </row>
    <row r="46" spans="1:19" x14ac:dyDescent="0.25">
      <c r="A46" t="s">
        <v>42</v>
      </c>
      <c r="B46">
        <v>38</v>
      </c>
      <c r="C46">
        <v>1.1100000000000001</v>
      </c>
      <c r="D46">
        <v>3418000</v>
      </c>
      <c r="E46" s="1">
        <v>54</v>
      </c>
      <c r="F46" s="1">
        <v>40</v>
      </c>
      <c r="G46" s="5">
        <f>(Table13[[#This Row],[GHSA_Deaths_2023]]-Table13[[#This Row],[GHSA_Deaths_2022]])/Table13[[#This Row],[GHSA_Deaths_2022]]</f>
        <v>-0.25925925925925924</v>
      </c>
      <c r="H46">
        <f>Table13[[#This Row],[GHSA_Deaths_2023]]-Table13[[#This Row],[FARS_Deaths_2023]]</f>
        <v>2</v>
      </c>
      <c r="I46" s="4">
        <f>(Table13[[#This Row],[GHSA_Deaths_2023]]-Table13[[#This Row],[FARS_Deaths_2023]])/Table13[[#This Row],[FARS_Deaths_2023]]</f>
        <v>5.2631578947368418E-2</v>
      </c>
      <c r="J46" s="3">
        <f>Table13[[#This Row],[GHSA_Deaths_2023]]/Table13[[#This Row],[Pop_2023]]*100000</f>
        <v>1.1702750146284375</v>
      </c>
      <c r="K46" s="6">
        <f>_xlfn.XLOOKUP($A46 &amp; "|Drove alone", Sheet3!$D:$D, Sheet3!$C:$C, "")</f>
        <v>0.68010000000000004</v>
      </c>
      <c r="L46" s="6">
        <f>_xlfn.XLOOKUP($A46 &amp; "|Public transportation", Sheet3!$D:$D, Sheet3!$C:$C, "")</f>
        <v>1.6299999999999999E-2</v>
      </c>
      <c r="M46" s="6">
        <f>_xlfn.XLOOKUP($A46 &amp; "|Walked", Sheet3!$D:$D, Sheet3!$C:$C, "")</f>
        <v>1.8200000000000001E-2</v>
      </c>
      <c r="N46" s="6">
        <f>_xlfn.XLOOKUP($A46 &amp; "|Bicycle", Sheet3!$D:$D, Sheet3!$C:$C, "")</f>
        <v>4.4999999999999997E-3</v>
      </c>
      <c r="O46" s="6">
        <f>_xlfn.XLOOKUP($A46 &amp; "|Carpool", Sheet3!$D:$D, Sheet3!$C:$C, "")</f>
        <v>0.10539999999999999</v>
      </c>
      <c r="P46" s="6">
        <f>_xlfn.XLOOKUP($A46 &amp; "|Taxi, motorcycle, or other", Sheet3!$D:$D, Sheet3!$C:$C, "")</f>
        <v>1.15E-2</v>
      </c>
      <c r="Q46" s="6">
        <f>_xlfn.XLOOKUP($A46 &amp; "|Worked at home", Sheet3!$D:$D, Sheet3!$C:$C, "")</f>
        <v>0.16389999999999999</v>
      </c>
      <c r="R46" t="s">
        <v>84</v>
      </c>
      <c r="S46" s="8">
        <f>Table13[[#This Row],[Drive_%]]/Table13[[#This Row],[Walk_%]]</f>
        <v>37.368131868131869</v>
      </c>
    </row>
    <row r="47" spans="1:19" x14ac:dyDescent="0.25">
      <c r="A47" t="s">
        <v>49</v>
      </c>
      <c r="B47">
        <v>5</v>
      </c>
      <c r="C47">
        <v>0.77</v>
      </c>
      <c r="D47">
        <v>647000</v>
      </c>
      <c r="E47" s="1">
        <v>6</v>
      </c>
      <c r="F47" s="1">
        <v>5</v>
      </c>
      <c r="G47" s="5">
        <f>(Table13[[#This Row],[GHSA_Deaths_2023]]-Table13[[#This Row],[GHSA_Deaths_2022]])/Table13[[#This Row],[GHSA_Deaths_2022]]</f>
        <v>-0.16666666666666666</v>
      </c>
      <c r="H47">
        <f>Table13[[#This Row],[GHSA_Deaths_2023]]-Table13[[#This Row],[FARS_Deaths_2023]]</f>
        <v>0</v>
      </c>
      <c r="I47" s="4">
        <f>(Table13[[#This Row],[GHSA_Deaths_2023]]-Table13[[#This Row],[FARS_Deaths_2023]])/Table13[[#This Row],[FARS_Deaths_2023]]</f>
        <v>0</v>
      </c>
      <c r="J47" s="3">
        <f>Table13[[#This Row],[GHSA_Deaths_2023]]/Table13[[#This Row],[Pop_2023]]*100000</f>
        <v>0.77279752704791338</v>
      </c>
      <c r="K47" s="6">
        <f>_xlfn.XLOOKUP($A47 &amp; "|Drove alone", Sheet3!$D:$D, Sheet3!$C:$C, "")</f>
        <v>0.68110000000000004</v>
      </c>
      <c r="L47" s="6">
        <f>_xlfn.XLOOKUP($A47 &amp; "|Public transportation", Sheet3!$D:$D, Sheet3!$C:$C, "")</f>
        <v>9.4000000000000004E-3</v>
      </c>
      <c r="M47" s="6">
        <f>_xlfn.XLOOKUP($A47 &amp; "|Walked", Sheet3!$D:$D, Sheet3!$C:$C, "")</f>
        <v>4.5499999999999999E-2</v>
      </c>
      <c r="N47" s="6">
        <f>_xlfn.XLOOKUP($A47 &amp; "|Bicycle", Sheet3!$D:$D, Sheet3!$C:$C, "")</f>
        <v>7.1999999999999998E-3</v>
      </c>
      <c r="O47" s="6">
        <f>_xlfn.XLOOKUP($A47 &amp; "|Carpool", Sheet3!$D:$D, Sheet3!$C:$C, "")</f>
        <v>8.4599999999999995E-2</v>
      </c>
      <c r="P47" s="6">
        <f>_xlfn.XLOOKUP($A47 &amp; "|Taxi, motorcycle, or other", Sheet3!$D:$D, Sheet3!$C:$C, "")</f>
        <v>1.01E-2</v>
      </c>
      <c r="Q47" s="6">
        <f>_xlfn.XLOOKUP($A47 &amp; "|Worked at home", Sheet3!$D:$D, Sheet3!$C:$C, "")</f>
        <v>0.16209999999999999</v>
      </c>
      <c r="R47" t="s">
        <v>85</v>
      </c>
      <c r="S47" s="8">
        <f>Table13[[#This Row],[Drive_%]]/Table13[[#This Row],[Walk_%]]</f>
        <v>14.969230769230771</v>
      </c>
    </row>
    <row r="48" spans="1:19" x14ac:dyDescent="0.25">
      <c r="A48" t="s">
        <v>33</v>
      </c>
      <c r="B48">
        <v>129</v>
      </c>
      <c r="C48">
        <v>1.48</v>
      </c>
      <c r="D48">
        <v>8716000</v>
      </c>
      <c r="E48" s="1">
        <v>171</v>
      </c>
      <c r="F48" s="1">
        <v>133</v>
      </c>
      <c r="G48" s="5">
        <f>(Table13[[#This Row],[GHSA_Deaths_2023]]-Table13[[#This Row],[GHSA_Deaths_2022]])/Table13[[#This Row],[GHSA_Deaths_2022]]</f>
        <v>-0.22222222222222221</v>
      </c>
      <c r="H48">
        <f>Table13[[#This Row],[GHSA_Deaths_2023]]-Table13[[#This Row],[FARS_Deaths_2023]]</f>
        <v>4</v>
      </c>
      <c r="I48" s="4">
        <f>(Table13[[#This Row],[GHSA_Deaths_2023]]-Table13[[#This Row],[FARS_Deaths_2023]])/Table13[[#This Row],[FARS_Deaths_2023]]</f>
        <v>3.1007751937984496E-2</v>
      </c>
      <c r="J48" s="3">
        <f>Table13[[#This Row],[GHSA_Deaths_2023]]/Table13[[#This Row],[Pop_2023]]*100000</f>
        <v>1.5259293253786141</v>
      </c>
      <c r="K48" s="6">
        <f>_xlfn.XLOOKUP($A48 &amp; "|Drove alone", Sheet3!$D:$D, Sheet3!$C:$C, "")</f>
        <v>0.68440000000000001</v>
      </c>
      <c r="L48" s="6">
        <f>_xlfn.XLOOKUP($A48 &amp; "|Public transportation", Sheet3!$D:$D, Sheet3!$C:$C, "")</f>
        <v>2.5000000000000001E-2</v>
      </c>
      <c r="M48" s="6">
        <f>_xlfn.XLOOKUP($A48 &amp; "|Walked", Sheet3!$D:$D, Sheet3!$C:$C, "")</f>
        <v>1.95E-2</v>
      </c>
      <c r="N48" s="6">
        <f>_xlfn.XLOOKUP($A48 &amp; "|Bicycle", Sheet3!$D:$D, Sheet3!$C:$C, "")</f>
        <v>2.8E-3</v>
      </c>
      <c r="O48" s="6">
        <f>_xlfn.XLOOKUP($A48 &amp; "|Carpool", Sheet3!$D:$D, Sheet3!$C:$C, "")</f>
        <v>8.5999999999999993E-2</v>
      </c>
      <c r="P48" s="6">
        <f>_xlfn.XLOOKUP($A48 &amp; "|Taxi, motorcycle, or other", Sheet3!$D:$D, Sheet3!$C:$C, "")</f>
        <v>1.5100000000000001E-2</v>
      </c>
      <c r="Q48" s="6">
        <f>_xlfn.XLOOKUP($A48 &amp; "|Worked at home", Sheet3!$D:$D, Sheet3!$C:$C, "")</f>
        <v>0.1671</v>
      </c>
      <c r="R48" t="s">
        <v>83</v>
      </c>
      <c r="S48" s="8">
        <f>Table13[[#This Row],[Drive_%]]/Table13[[#This Row],[Walk_%]]</f>
        <v>35.097435897435901</v>
      </c>
    </row>
    <row r="49" spans="1:19" x14ac:dyDescent="0.25">
      <c r="A49" t="s">
        <v>23</v>
      </c>
      <c r="B49">
        <v>150</v>
      </c>
      <c r="C49">
        <v>1.92</v>
      </c>
      <c r="D49">
        <v>7813000</v>
      </c>
      <c r="E49" s="1">
        <v>131</v>
      </c>
      <c r="F49" s="1">
        <v>146</v>
      </c>
      <c r="G49" s="5">
        <f>(Table13[[#This Row],[GHSA_Deaths_2023]]-Table13[[#This Row],[GHSA_Deaths_2022]])/Table13[[#This Row],[GHSA_Deaths_2022]]</f>
        <v>0.11450381679389313</v>
      </c>
      <c r="H49">
        <f>Table13[[#This Row],[GHSA_Deaths_2023]]-Table13[[#This Row],[FARS_Deaths_2023]]</f>
        <v>-4</v>
      </c>
      <c r="I49" s="4">
        <f>(Table13[[#This Row],[GHSA_Deaths_2023]]-Table13[[#This Row],[FARS_Deaths_2023]])/Table13[[#This Row],[FARS_Deaths_2023]]</f>
        <v>-2.6666666666666668E-2</v>
      </c>
      <c r="J49" s="3">
        <f>Table13[[#This Row],[GHSA_Deaths_2023]]/Table13[[#This Row],[Pop_2023]]*100000</f>
        <v>1.868680404454115</v>
      </c>
      <c r="K49" s="6">
        <f>_xlfn.XLOOKUP($A49 &amp; "|Drove alone", Sheet3!$D:$D, Sheet3!$C:$C, "")</f>
        <v>0.64870000000000005</v>
      </c>
      <c r="L49" s="6">
        <f>_xlfn.XLOOKUP($A49 &amp; "|Public transportation", Sheet3!$D:$D, Sheet3!$C:$C, "")</f>
        <v>3.9899999999999998E-2</v>
      </c>
      <c r="M49" s="6">
        <f>_xlfn.XLOOKUP($A49 &amp; "|Walked", Sheet3!$D:$D, Sheet3!$C:$C, "")</f>
        <v>3.0700000000000002E-2</v>
      </c>
      <c r="N49" s="6">
        <f>_xlfn.XLOOKUP($A49 &amp; "|Bicycle", Sheet3!$D:$D, Sheet3!$C:$C, "")</f>
        <v>6.7999999999999996E-3</v>
      </c>
      <c r="O49" s="6">
        <f>_xlfn.XLOOKUP($A49 &amp; "|Carpool", Sheet3!$D:$D, Sheet3!$C:$C, "")</f>
        <v>8.9099999999999999E-2</v>
      </c>
      <c r="P49" s="6">
        <f>_xlfn.XLOOKUP($A49 &amp; "|Taxi, motorcycle, or other", Sheet3!$D:$D, Sheet3!$C:$C, "")</f>
        <v>1.2200000000000001E-2</v>
      </c>
      <c r="Q49" s="6">
        <f>_xlfn.XLOOKUP($A49 &amp; "|Worked at home", Sheet3!$D:$D, Sheet3!$C:$C, "")</f>
        <v>0.1726</v>
      </c>
      <c r="R49" t="s">
        <v>84</v>
      </c>
      <c r="S49" s="8">
        <f>Table13[[#This Row],[Drive_%]]/Table13[[#This Row],[Walk_%]]</f>
        <v>21.130293159609121</v>
      </c>
    </row>
    <row r="50" spans="1:19" x14ac:dyDescent="0.25">
      <c r="A50" t="s">
        <v>48</v>
      </c>
      <c r="B50">
        <v>15</v>
      </c>
      <c r="C50">
        <v>0.85</v>
      </c>
      <c r="D50">
        <v>1770000</v>
      </c>
      <c r="E50" s="1">
        <v>22</v>
      </c>
      <c r="F50" s="1">
        <v>20</v>
      </c>
      <c r="G50" s="5">
        <f>(Table13[[#This Row],[GHSA_Deaths_2023]]-Table13[[#This Row],[GHSA_Deaths_2022]])/Table13[[#This Row],[GHSA_Deaths_2022]]</f>
        <v>-9.0909090909090912E-2</v>
      </c>
      <c r="H50">
        <f>Table13[[#This Row],[GHSA_Deaths_2023]]-Table13[[#This Row],[FARS_Deaths_2023]]</f>
        <v>5</v>
      </c>
      <c r="I50" s="4">
        <f>(Table13[[#This Row],[GHSA_Deaths_2023]]-Table13[[#This Row],[FARS_Deaths_2023]])/Table13[[#This Row],[FARS_Deaths_2023]]</f>
        <v>0.33333333333333331</v>
      </c>
      <c r="J50" s="3">
        <f>Table13[[#This Row],[GHSA_Deaths_2023]]/Table13[[#This Row],[Pop_2023]]*100000</f>
        <v>1.1299435028248588</v>
      </c>
      <c r="K50" s="6">
        <f>_xlfn.XLOOKUP($A50 &amp; "|Drove alone", Sheet3!$D:$D, Sheet3!$C:$C, "")</f>
        <v>0.7762</v>
      </c>
      <c r="L50" s="6">
        <f>_xlfn.XLOOKUP($A50 &amp; "|Public transportation", Sheet3!$D:$D, Sheet3!$C:$C, "")</f>
        <v>4.8999999999999998E-3</v>
      </c>
      <c r="M50" s="6">
        <f>_xlfn.XLOOKUP($A50 &amp; "|Walked", Sheet3!$D:$D, Sheet3!$C:$C, "")</f>
        <v>2.3E-2</v>
      </c>
      <c r="N50" s="6">
        <f>_xlfn.XLOOKUP($A50 &amp; "|Bicycle", Sheet3!$D:$D, Sheet3!$C:$C, "")</f>
        <v>1.2999999999999999E-3</v>
      </c>
      <c r="O50" s="6">
        <f>_xlfn.XLOOKUP($A50 &amp; "|Carpool", Sheet3!$D:$D, Sheet3!$C:$C, "")</f>
        <v>9.7600000000000006E-2</v>
      </c>
      <c r="P50" s="6">
        <f>_xlfn.XLOOKUP($A50 &amp; "|Taxi, motorcycle, or other", Sheet3!$D:$D, Sheet3!$C:$C, "")</f>
        <v>1.4E-2</v>
      </c>
      <c r="Q50" s="6">
        <f>_xlfn.XLOOKUP($A50 &amp; "|Worked at home", Sheet3!$D:$D, Sheet3!$C:$C, "")</f>
        <v>8.3000000000000004E-2</v>
      </c>
      <c r="R50" t="s">
        <v>83</v>
      </c>
      <c r="S50" s="8">
        <f>Table13[[#This Row],[Drive_%]]/Table13[[#This Row],[Walk_%]]</f>
        <v>33.747826086956522</v>
      </c>
    </row>
    <row r="51" spans="1:19" x14ac:dyDescent="0.25">
      <c r="A51" t="s">
        <v>45</v>
      </c>
      <c r="B51">
        <v>59</v>
      </c>
      <c r="C51">
        <v>1</v>
      </c>
      <c r="D51">
        <v>5911000</v>
      </c>
      <c r="E51" s="1">
        <v>72</v>
      </c>
      <c r="F51" s="1">
        <v>55</v>
      </c>
      <c r="G51" s="5">
        <f>(Table13[[#This Row],[GHSA_Deaths_2023]]-Table13[[#This Row],[GHSA_Deaths_2022]])/Table13[[#This Row],[GHSA_Deaths_2022]]</f>
        <v>-0.2361111111111111</v>
      </c>
      <c r="H51">
        <f>Table13[[#This Row],[GHSA_Deaths_2023]]-Table13[[#This Row],[FARS_Deaths_2023]]</f>
        <v>-4</v>
      </c>
      <c r="I51" s="4">
        <f>(Table13[[#This Row],[GHSA_Deaths_2023]]-Table13[[#This Row],[FARS_Deaths_2023]])/Table13[[#This Row],[FARS_Deaths_2023]]</f>
        <v>-6.7796610169491525E-2</v>
      </c>
      <c r="J51" s="3">
        <f>Table13[[#This Row],[GHSA_Deaths_2023]]/Table13[[#This Row],[Pop_2023]]*100000</f>
        <v>0.93046861783116219</v>
      </c>
      <c r="K51" s="6">
        <f>_xlfn.XLOOKUP($A51 &amp; "|Drove alone", Sheet3!$D:$D, Sheet3!$C:$C, "")</f>
        <v>0.74860000000000004</v>
      </c>
      <c r="L51" s="6">
        <f>_xlfn.XLOOKUP($A51 &amp; "|Public transportation", Sheet3!$D:$D, Sheet3!$C:$C, "")</f>
        <v>1.11E-2</v>
      </c>
      <c r="M51" s="6">
        <f>_xlfn.XLOOKUP($A51 &amp; "|Walked", Sheet3!$D:$D, Sheet3!$C:$C, "")</f>
        <v>2.6100000000000002E-2</v>
      </c>
      <c r="N51" s="6">
        <f>_xlfn.XLOOKUP($A51 &amp; "|Bicycle", Sheet3!$D:$D, Sheet3!$C:$C, "")</f>
        <v>4.8999999999999998E-3</v>
      </c>
      <c r="O51" s="6">
        <f>_xlfn.XLOOKUP($A51 &amp; "|Carpool", Sheet3!$D:$D, Sheet3!$C:$C, "")</f>
        <v>7.6300000000000007E-2</v>
      </c>
      <c r="P51" s="6">
        <f>_xlfn.XLOOKUP($A51 &amp; "|Taxi, motorcycle, or other", Sheet3!$D:$D, Sheet3!$C:$C, "")</f>
        <v>1.0800000000000001E-2</v>
      </c>
      <c r="Q51" s="6">
        <f>_xlfn.XLOOKUP($A51 &amp; "|Worked at home", Sheet3!$D:$D, Sheet3!$C:$C, "")</f>
        <v>0.1222</v>
      </c>
      <c r="R51" t="s">
        <v>86</v>
      </c>
      <c r="S51" s="8">
        <f>Table13[[#This Row],[Drive_%]]/Table13[[#This Row],[Walk_%]]</f>
        <v>28.68199233716475</v>
      </c>
    </row>
    <row r="52" spans="1:19" x14ac:dyDescent="0.25">
      <c r="A52" t="s">
        <v>24</v>
      </c>
      <c r="B52">
        <v>11</v>
      </c>
      <c r="C52">
        <v>1.88</v>
      </c>
      <c r="D52">
        <v>584000</v>
      </c>
      <c r="E52" s="1">
        <v>8</v>
      </c>
      <c r="F52" s="1">
        <v>11</v>
      </c>
      <c r="G52" s="5">
        <f>(Table13[[#This Row],[GHSA_Deaths_2023]]-Table13[[#This Row],[GHSA_Deaths_2022]])/Table13[[#This Row],[GHSA_Deaths_2022]]</f>
        <v>0.375</v>
      </c>
      <c r="H52">
        <f>Table13[[#This Row],[GHSA_Deaths_2023]]-Table13[[#This Row],[FARS_Deaths_2023]]</f>
        <v>0</v>
      </c>
      <c r="I52" s="4">
        <f>(Table13[[#This Row],[GHSA_Deaths_2023]]-Table13[[#This Row],[FARS_Deaths_2023]])/Table13[[#This Row],[FARS_Deaths_2023]]</f>
        <v>0</v>
      </c>
      <c r="J52" s="3">
        <f>Table13[[#This Row],[GHSA_Deaths_2023]]/Table13[[#This Row],[Pop_2023]]*100000</f>
        <v>1.8835616438356166</v>
      </c>
      <c r="K52" s="6">
        <f>_xlfn.XLOOKUP($A52 &amp; "|Drove alone", Sheet3!$D:$D, Sheet3!$C:$C, "")</f>
        <v>0.72750000000000004</v>
      </c>
      <c r="L52" s="6">
        <f>_xlfn.XLOOKUP($A52 &amp; "|Public transportation", Sheet3!$D:$D, Sheet3!$C:$C, "")</f>
        <v>1.17E-2</v>
      </c>
      <c r="M52" s="6">
        <f>_xlfn.XLOOKUP($A52 &amp; "|Walked", Sheet3!$D:$D, Sheet3!$C:$C, "")</f>
        <v>3.3799999999999997E-2</v>
      </c>
      <c r="N52" s="6">
        <f>_xlfn.XLOOKUP($A52 &amp; "|Bicycle", Sheet3!$D:$D, Sheet3!$C:$C, "")</f>
        <v>9.4000000000000004E-3</v>
      </c>
      <c r="O52" s="6">
        <f>_xlfn.XLOOKUP($A52 &amp; "|Carpool", Sheet3!$D:$D, Sheet3!$C:$C, "")</f>
        <v>0.1048</v>
      </c>
      <c r="P52" s="6">
        <f>_xlfn.XLOOKUP($A52 &amp; "|Taxi, motorcycle, or other", Sheet3!$D:$D, Sheet3!$C:$C, "")</f>
        <v>1.0500000000000001E-2</v>
      </c>
      <c r="Q52" s="6">
        <f>_xlfn.XLOOKUP($A52 &amp; "|Worked at home", Sheet3!$D:$D, Sheet3!$C:$C, "")</f>
        <v>0.1024</v>
      </c>
      <c r="R52" t="s">
        <v>84</v>
      </c>
      <c r="S52" s="8">
        <f>Table13[[#This Row],[Drive_%]]/Table13[[#This Row],[Walk_%]]</f>
        <v>21.523668639053259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3856-269A-4115-8C8B-10BEBEBBD7E8}">
  <dimension ref="A1:J358"/>
  <sheetViews>
    <sheetView tabSelected="1" workbookViewId="0">
      <selection activeCell="J3" sqref="J3"/>
    </sheetView>
  </sheetViews>
  <sheetFormatPr defaultRowHeight="15" x14ac:dyDescent="0.25"/>
  <cols>
    <col min="3" max="3" width="26.140625" bestFit="1" customWidth="1"/>
  </cols>
  <sheetData>
    <row r="1" spans="1:10" x14ac:dyDescent="0.25">
      <c r="A1" t="s">
        <v>0</v>
      </c>
      <c r="B1" t="s">
        <v>66</v>
      </c>
      <c r="C1" t="s">
        <v>74</v>
      </c>
      <c r="D1" t="s">
        <v>82</v>
      </c>
      <c r="I1" t="s">
        <v>15</v>
      </c>
      <c r="J1" t="s">
        <v>83</v>
      </c>
    </row>
    <row r="2" spans="1:10" x14ac:dyDescent="0.25">
      <c r="A2" t="s">
        <v>15</v>
      </c>
      <c r="B2" t="s">
        <v>67</v>
      </c>
      <c r="C2" s="6">
        <v>1.1000000000000001E-3</v>
      </c>
      <c r="D2" t="str">
        <f t="shared" ref="D2:D65" si="0">A2 &amp; "|" &amp; B2</f>
        <v>Alabama|Bicycle</v>
      </c>
      <c r="I2" t="s">
        <v>28</v>
      </c>
      <c r="J2" t="s">
        <v>84</v>
      </c>
    </row>
    <row r="3" spans="1:10" x14ac:dyDescent="0.25">
      <c r="A3" t="s">
        <v>15</v>
      </c>
      <c r="B3" t="s">
        <v>72</v>
      </c>
      <c r="C3" s="6">
        <v>8.3199999999999996E-2</v>
      </c>
      <c r="D3" t="str">
        <f t="shared" si="0"/>
        <v>Alabama|Carpool</v>
      </c>
      <c r="I3" t="s">
        <v>2</v>
      </c>
      <c r="J3" t="s">
        <v>84</v>
      </c>
    </row>
    <row r="4" spans="1:10" x14ac:dyDescent="0.25">
      <c r="A4" t="s">
        <v>15</v>
      </c>
      <c r="B4" t="s">
        <v>73</v>
      </c>
      <c r="C4" s="6">
        <v>0.80020000000000002</v>
      </c>
      <c r="D4" t="str">
        <f t="shared" si="0"/>
        <v>Alabama|Drove alone</v>
      </c>
      <c r="I4" t="s">
        <v>16</v>
      </c>
      <c r="J4" t="s">
        <v>83</v>
      </c>
    </row>
    <row r="5" spans="1:10" x14ac:dyDescent="0.25">
      <c r="A5" t="s">
        <v>15</v>
      </c>
      <c r="B5" t="s">
        <v>70</v>
      </c>
      <c r="C5" s="6">
        <v>2.8999999999999998E-3</v>
      </c>
      <c r="D5" t="str">
        <f t="shared" si="0"/>
        <v>Alabama|Public transportation</v>
      </c>
      <c r="I5" t="s">
        <v>8</v>
      </c>
      <c r="J5" t="s">
        <v>84</v>
      </c>
    </row>
    <row r="6" spans="1:10" x14ac:dyDescent="0.25">
      <c r="A6" t="s">
        <v>15</v>
      </c>
      <c r="B6" t="s">
        <v>69</v>
      </c>
      <c r="C6" s="6">
        <v>1.18E-2</v>
      </c>
      <c r="D6" t="str">
        <f t="shared" si="0"/>
        <v>Alabama|Taxi, motorcycle, or other</v>
      </c>
      <c r="I6" t="s">
        <v>19</v>
      </c>
      <c r="J6" t="s">
        <v>84</v>
      </c>
    </row>
    <row r="7" spans="1:10" x14ac:dyDescent="0.25">
      <c r="A7" t="s">
        <v>15</v>
      </c>
      <c r="B7" t="s">
        <v>68</v>
      </c>
      <c r="C7" s="6">
        <v>1.3100000000000001E-2</v>
      </c>
      <c r="D7" t="str">
        <f t="shared" si="0"/>
        <v>Alabama|Walked</v>
      </c>
      <c r="I7" t="s">
        <v>38</v>
      </c>
      <c r="J7" t="s">
        <v>85</v>
      </c>
    </row>
    <row r="8" spans="1:10" x14ac:dyDescent="0.25">
      <c r="A8" t="s">
        <v>15</v>
      </c>
      <c r="B8" t="s">
        <v>71</v>
      </c>
      <c r="C8" s="6">
        <v>8.77E-2</v>
      </c>
      <c r="D8" t="str">
        <f t="shared" si="0"/>
        <v>Alabama|Worked at home</v>
      </c>
      <c r="I8" t="s">
        <v>12</v>
      </c>
      <c r="J8" t="s">
        <v>85</v>
      </c>
    </row>
    <row r="9" spans="1:10" x14ac:dyDescent="0.25">
      <c r="A9" t="s">
        <v>28</v>
      </c>
      <c r="B9" t="s">
        <v>67</v>
      </c>
      <c r="C9" s="6">
        <v>5.1000000000000004E-3</v>
      </c>
      <c r="D9" t="str">
        <f t="shared" si="0"/>
        <v>Alaska|Bicycle</v>
      </c>
      <c r="I9" t="s">
        <v>21</v>
      </c>
      <c r="J9" t="s">
        <v>85</v>
      </c>
    </row>
    <row r="10" spans="1:10" x14ac:dyDescent="0.25">
      <c r="A10" t="s">
        <v>28</v>
      </c>
      <c r="B10" t="s">
        <v>72</v>
      </c>
      <c r="C10" s="6">
        <v>0.11559999999999999</v>
      </c>
      <c r="D10" t="str">
        <f t="shared" si="0"/>
        <v>Alaska|Carpool</v>
      </c>
      <c r="I10" t="s">
        <v>4</v>
      </c>
      <c r="J10" t="s">
        <v>83</v>
      </c>
    </row>
    <row r="11" spans="1:10" x14ac:dyDescent="0.25">
      <c r="A11" t="s">
        <v>28</v>
      </c>
      <c r="B11" t="s">
        <v>73</v>
      </c>
      <c r="C11" s="6">
        <v>0.65459999999999996</v>
      </c>
      <c r="D11" t="str">
        <f t="shared" si="0"/>
        <v>Alaska|Drove alone</v>
      </c>
      <c r="I11" t="s">
        <v>9</v>
      </c>
      <c r="J11" t="s">
        <v>83</v>
      </c>
    </row>
    <row r="12" spans="1:10" x14ac:dyDescent="0.25">
      <c r="A12" t="s">
        <v>28</v>
      </c>
      <c r="B12" t="s">
        <v>70</v>
      </c>
      <c r="C12" s="6">
        <v>8.3999999999999995E-3</v>
      </c>
      <c r="D12" t="str">
        <f t="shared" si="0"/>
        <v>Alaska|Public transportation</v>
      </c>
      <c r="I12" t="s">
        <v>32</v>
      </c>
      <c r="J12" t="s">
        <v>84</v>
      </c>
    </row>
    <row r="13" spans="1:10" x14ac:dyDescent="0.25">
      <c r="A13" t="s">
        <v>28</v>
      </c>
      <c r="B13" t="s">
        <v>69</v>
      </c>
      <c r="C13" s="6">
        <v>5.3999999999999999E-2</v>
      </c>
      <c r="D13" t="str">
        <f t="shared" si="0"/>
        <v>Alaska|Taxi, motorcycle, or other</v>
      </c>
      <c r="I13" t="s">
        <v>31</v>
      </c>
      <c r="J13" t="s">
        <v>84</v>
      </c>
    </row>
    <row r="14" spans="1:10" x14ac:dyDescent="0.25">
      <c r="A14" t="s">
        <v>28</v>
      </c>
      <c r="B14" t="s">
        <v>68</v>
      </c>
      <c r="C14" s="6">
        <v>7.2300000000000003E-2</v>
      </c>
      <c r="D14" t="str">
        <f t="shared" si="0"/>
        <v>Alaska|Walked</v>
      </c>
      <c r="I14" t="s">
        <v>30</v>
      </c>
      <c r="J14" t="s">
        <v>86</v>
      </c>
    </row>
    <row r="15" spans="1:10" x14ac:dyDescent="0.25">
      <c r="A15" t="s">
        <v>28</v>
      </c>
      <c r="B15" t="s">
        <v>71</v>
      </c>
      <c r="C15" s="6">
        <v>0.09</v>
      </c>
      <c r="D15" t="str">
        <f t="shared" si="0"/>
        <v>Alaska|Worked at home</v>
      </c>
      <c r="I15" t="s">
        <v>36</v>
      </c>
      <c r="J15" t="s">
        <v>86</v>
      </c>
    </row>
    <row r="16" spans="1:10" x14ac:dyDescent="0.25">
      <c r="A16" t="s">
        <v>2</v>
      </c>
      <c r="B16" t="s">
        <v>67</v>
      </c>
      <c r="C16" s="6">
        <v>5.4999999999999997E-3</v>
      </c>
      <c r="D16" t="str">
        <f t="shared" si="0"/>
        <v>Arizona|Bicycle</v>
      </c>
      <c r="I16" t="s">
        <v>47</v>
      </c>
      <c r="J16" t="s">
        <v>86</v>
      </c>
    </row>
    <row r="17" spans="1:10" x14ac:dyDescent="0.25">
      <c r="A17" t="s">
        <v>2</v>
      </c>
      <c r="B17" t="s">
        <v>72</v>
      </c>
      <c r="C17" s="6">
        <v>0.10290000000000001</v>
      </c>
      <c r="D17" t="str">
        <f t="shared" si="0"/>
        <v>Arizona|Carpool</v>
      </c>
      <c r="I17" t="s">
        <v>39</v>
      </c>
      <c r="J17" t="s">
        <v>86</v>
      </c>
    </row>
    <row r="18" spans="1:10" x14ac:dyDescent="0.25">
      <c r="A18" t="s">
        <v>2</v>
      </c>
      <c r="B18" t="s">
        <v>73</v>
      </c>
      <c r="C18" s="6">
        <v>0.67049999999999998</v>
      </c>
      <c r="D18" t="str">
        <f t="shared" si="0"/>
        <v>Arizona|Drove alone</v>
      </c>
      <c r="I18" t="s">
        <v>10</v>
      </c>
      <c r="J18" t="s">
        <v>83</v>
      </c>
    </row>
    <row r="19" spans="1:10" x14ac:dyDescent="0.25">
      <c r="A19" t="s">
        <v>2</v>
      </c>
      <c r="B19" t="s">
        <v>70</v>
      </c>
      <c r="C19" s="6">
        <v>1.21E-2</v>
      </c>
      <c r="D19" t="str">
        <f t="shared" si="0"/>
        <v>Arizona|Public transportation</v>
      </c>
      <c r="I19" t="s">
        <v>6</v>
      </c>
      <c r="J19" t="s">
        <v>83</v>
      </c>
    </row>
    <row r="20" spans="1:10" x14ac:dyDescent="0.25">
      <c r="A20" t="s">
        <v>2</v>
      </c>
      <c r="B20" t="s">
        <v>69</v>
      </c>
      <c r="C20" s="6">
        <v>1.7500000000000002E-2</v>
      </c>
      <c r="D20" t="str">
        <f t="shared" si="0"/>
        <v>Arizona|Taxi, motorcycle, or other</v>
      </c>
      <c r="I20" t="s">
        <v>37</v>
      </c>
      <c r="J20" t="s">
        <v>85</v>
      </c>
    </row>
    <row r="21" spans="1:10" x14ac:dyDescent="0.25">
      <c r="A21" t="s">
        <v>2</v>
      </c>
      <c r="B21" t="s">
        <v>68</v>
      </c>
      <c r="C21" s="6">
        <v>1.66E-2</v>
      </c>
      <c r="D21" t="str">
        <f t="shared" si="0"/>
        <v>Arizona|Walked</v>
      </c>
      <c r="I21" t="s">
        <v>14</v>
      </c>
      <c r="J21" t="s">
        <v>85</v>
      </c>
    </row>
    <row r="22" spans="1:10" x14ac:dyDescent="0.25">
      <c r="A22" t="s">
        <v>2</v>
      </c>
      <c r="B22" t="s">
        <v>71</v>
      </c>
      <c r="C22" s="6">
        <v>0.17480000000000001</v>
      </c>
      <c r="D22" t="str">
        <f t="shared" si="0"/>
        <v>Arizona|Worked at home</v>
      </c>
      <c r="I22" t="s">
        <v>46</v>
      </c>
      <c r="J22" t="s">
        <v>85</v>
      </c>
    </row>
    <row r="23" spans="1:10" x14ac:dyDescent="0.25">
      <c r="A23" t="s">
        <v>16</v>
      </c>
      <c r="B23" t="s">
        <v>67</v>
      </c>
      <c r="C23" s="6">
        <v>1.6000000000000001E-3</v>
      </c>
      <c r="D23" t="str">
        <f t="shared" si="0"/>
        <v>Arkansas|Bicycle</v>
      </c>
      <c r="I23" t="s">
        <v>27</v>
      </c>
      <c r="J23" t="s">
        <v>86</v>
      </c>
    </row>
    <row r="24" spans="1:10" x14ac:dyDescent="0.25">
      <c r="A24" t="s">
        <v>16</v>
      </c>
      <c r="B24" t="s">
        <v>72</v>
      </c>
      <c r="C24" s="6">
        <v>9.9199999999999997E-2</v>
      </c>
      <c r="D24" t="str">
        <f t="shared" si="0"/>
        <v>Arkansas|Carpool</v>
      </c>
      <c r="I24" t="s">
        <v>50</v>
      </c>
      <c r="J24" t="s">
        <v>86</v>
      </c>
    </row>
    <row r="25" spans="1:10" x14ac:dyDescent="0.25">
      <c r="A25" t="s">
        <v>16</v>
      </c>
      <c r="B25" t="s">
        <v>73</v>
      </c>
      <c r="C25" s="6">
        <v>0.78290000000000004</v>
      </c>
      <c r="D25" t="str">
        <f t="shared" si="0"/>
        <v>Arkansas|Drove alone</v>
      </c>
      <c r="I25" t="s">
        <v>7</v>
      </c>
      <c r="J25" t="s">
        <v>83</v>
      </c>
    </row>
    <row r="26" spans="1:10" x14ac:dyDescent="0.25">
      <c r="A26" t="s">
        <v>16</v>
      </c>
      <c r="B26" t="s">
        <v>70</v>
      </c>
      <c r="C26" s="6">
        <v>3.3E-3</v>
      </c>
      <c r="D26" t="str">
        <f t="shared" si="0"/>
        <v>Arkansas|Public transportation</v>
      </c>
      <c r="I26" t="s">
        <v>22</v>
      </c>
      <c r="J26" t="s">
        <v>86</v>
      </c>
    </row>
    <row r="27" spans="1:10" x14ac:dyDescent="0.25">
      <c r="A27" t="s">
        <v>16</v>
      </c>
      <c r="B27" t="s">
        <v>69</v>
      </c>
      <c r="C27" s="6">
        <v>1.0500000000000001E-2</v>
      </c>
      <c r="D27" t="str">
        <f t="shared" si="0"/>
        <v>Arkansas|Taxi, motorcycle, or other</v>
      </c>
      <c r="I27" t="s">
        <v>26</v>
      </c>
      <c r="J27" t="s">
        <v>84</v>
      </c>
    </row>
    <row r="28" spans="1:10" x14ac:dyDescent="0.25">
      <c r="A28" t="s">
        <v>16</v>
      </c>
      <c r="B28" t="s">
        <v>68</v>
      </c>
      <c r="C28" s="6">
        <v>1.5599999999999999E-2</v>
      </c>
      <c r="D28" t="str">
        <f t="shared" si="0"/>
        <v>Arkansas|Walked</v>
      </c>
      <c r="I28" t="s">
        <v>51</v>
      </c>
      <c r="J28" t="s">
        <v>86</v>
      </c>
    </row>
    <row r="29" spans="1:10" x14ac:dyDescent="0.25">
      <c r="A29" t="s">
        <v>16</v>
      </c>
      <c r="B29" t="s">
        <v>71</v>
      </c>
      <c r="C29" s="6">
        <v>8.6900000000000005E-2</v>
      </c>
      <c r="D29" t="str">
        <f t="shared" si="0"/>
        <v>Arkansas|Worked at home</v>
      </c>
      <c r="I29" t="s">
        <v>5</v>
      </c>
      <c r="J29" t="s">
        <v>84</v>
      </c>
    </row>
    <row r="30" spans="1:10" x14ac:dyDescent="0.25">
      <c r="A30" t="s">
        <v>8</v>
      </c>
      <c r="B30" t="s">
        <v>67</v>
      </c>
      <c r="C30" s="6">
        <v>7.6E-3</v>
      </c>
      <c r="D30" t="str">
        <f t="shared" si="0"/>
        <v>California|Bicycle</v>
      </c>
      <c r="I30" t="s">
        <v>43</v>
      </c>
      <c r="J30" t="s">
        <v>85</v>
      </c>
    </row>
    <row r="31" spans="1:10" x14ac:dyDescent="0.25">
      <c r="A31" t="s">
        <v>8</v>
      </c>
      <c r="B31" t="s">
        <v>72</v>
      </c>
      <c r="C31" s="6">
        <v>0.1018</v>
      </c>
      <c r="D31" t="str">
        <f t="shared" si="0"/>
        <v>California|Carpool</v>
      </c>
      <c r="I31" t="s">
        <v>25</v>
      </c>
      <c r="J31" t="s">
        <v>85</v>
      </c>
    </row>
    <row r="32" spans="1:10" x14ac:dyDescent="0.25">
      <c r="A32" t="s">
        <v>8</v>
      </c>
      <c r="B32" t="s">
        <v>73</v>
      </c>
      <c r="C32" s="6">
        <v>0.67069999999999996</v>
      </c>
      <c r="D32" t="str">
        <f t="shared" si="0"/>
        <v>California|Drove alone</v>
      </c>
      <c r="I32" t="s">
        <v>1</v>
      </c>
      <c r="J32" t="s">
        <v>84</v>
      </c>
    </row>
    <row r="33" spans="1:10" x14ac:dyDescent="0.25">
      <c r="A33" t="s">
        <v>8</v>
      </c>
      <c r="B33" t="s">
        <v>70</v>
      </c>
      <c r="C33" s="6">
        <v>3.0800000000000001E-2</v>
      </c>
      <c r="D33" t="str">
        <f t="shared" si="0"/>
        <v>California|Public transportation</v>
      </c>
      <c r="I33" t="s">
        <v>34</v>
      </c>
      <c r="J33" t="s">
        <v>85</v>
      </c>
    </row>
    <row r="34" spans="1:10" x14ac:dyDescent="0.25">
      <c r="A34" t="s">
        <v>8</v>
      </c>
      <c r="B34" t="s">
        <v>69</v>
      </c>
      <c r="C34" s="6">
        <v>1.7299999999999999E-2</v>
      </c>
      <c r="D34" t="str">
        <f t="shared" si="0"/>
        <v>California|Taxi, motorcycle, or other</v>
      </c>
      <c r="I34" t="s">
        <v>20</v>
      </c>
      <c r="J34" t="s">
        <v>83</v>
      </c>
    </row>
    <row r="35" spans="1:10" x14ac:dyDescent="0.25">
      <c r="A35" t="s">
        <v>8</v>
      </c>
      <c r="B35" t="s">
        <v>68</v>
      </c>
      <c r="C35" s="6">
        <v>2.5399999999999999E-2</v>
      </c>
      <c r="D35" t="str">
        <f t="shared" si="0"/>
        <v>California|Walked</v>
      </c>
      <c r="I35" t="s">
        <v>40</v>
      </c>
      <c r="J35" t="s">
        <v>86</v>
      </c>
    </row>
    <row r="36" spans="1:10" x14ac:dyDescent="0.25">
      <c r="A36" t="s">
        <v>8</v>
      </c>
      <c r="B36" t="s">
        <v>71</v>
      </c>
      <c r="C36" s="6">
        <v>0.14649999999999999</v>
      </c>
      <c r="D36" t="str">
        <f t="shared" si="0"/>
        <v>California|Worked at home</v>
      </c>
      <c r="I36" t="s">
        <v>41</v>
      </c>
      <c r="J36" t="s">
        <v>86</v>
      </c>
    </row>
    <row r="37" spans="1:10" x14ac:dyDescent="0.25">
      <c r="A37" t="s">
        <v>19</v>
      </c>
      <c r="B37" t="s">
        <v>67</v>
      </c>
      <c r="C37" s="6">
        <v>8.3999999999999995E-3</v>
      </c>
      <c r="D37" t="str">
        <f t="shared" si="0"/>
        <v>Colorado|Bicycle</v>
      </c>
      <c r="I37" t="s">
        <v>18</v>
      </c>
      <c r="J37" t="s">
        <v>83</v>
      </c>
    </row>
    <row r="38" spans="1:10" x14ac:dyDescent="0.25">
      <c r="A38" t="s">
        <v>19</v>
      </c>
      <c r="B38" t="s">
        <v>72</v>
      </c>
      <c r="C38" s="6">
        <v>7.8899999999999998E-2</v>
      </c>
      <c r="D38" t="str">
        <f t="shared" si="0"/>
        <v>Colorado|Carpool</v>
      </c>
      <c r="I38" t="s">
        <v>17</v>
      </c>
      <c r="J38" t="s">
        <v>84</v>
      </c>
    </row>
    <row r="39" spans="1:10" x14ac:dyDescent="0.25">
      <c r="A39" t="s">
        <v>19</v>
      </c>
      <c r="B39" t="s">
        <v>73</v>
      </c>
      <c r="C39" s="6">
        <v>0.66010000000000002</v>
      </c>
      <c r="D39" t="str">
        <f t="shared" si="0"/>
        <v>Colorado|Drove alone</v>
      </c>
      <c r="I39" t="s">
        <v>35</v>
      </c>
      <c r="J39" t="s">
        <v>85</v>
      </c>
    </row>
    <row r="40" spans="1:10" x14ac:dyDescent="0.25">
      <c r="A40" t="s">
        <v>19</v>
      </c>
      <c r="B40" t="s">
        <v>70</v>
      </c>
      <c r="C40" s="6">
        <v>1.6500000000000001E-2</v>
      </c>
      <c r="D40" t="str">
        <f t="shared" si="0"/>
        <v>Colorado|Public transportation</v>
      </c>
      <c r="I40" t="s">
        <v>44</v>
      </c>
      <c r="J40" t="s">
        <v>85</v>
      </c>
    </row>
    <row r="41" spans="1:10" x14ac:dyDescent="0.25">
      <c r="A41" t="s">
        <v>19</v>
      </c>
      <c r="B41" t="s">
        <v>69</v>
      </c>
      <c r="C41" s="6">
        <v>1.32E-2</v>
      </c>
      <c r="D41" t="str">
        <f t="shared" si="0"/>
        <v>Colorado|Taxi, motorcycle, or other</v>
      </c>
      <c r="I41" t="s">
        <v>3</v>
      </c>
      <c r="J41" t="s">
        <v>83</v>
      </c>
    </row>
    <row r="42" spans="1:10" x14ac:dyDescent="0.25">
      <c r="A42" t="s">
        <v>19</v>
      </c>
      <c r="B42" t="s">
        <v>68</v>
      </c>
      <c r="C42" s="6">
        <v>2.4400000000000002E-2</v>
      </c>
      <c r="D42" t="str">
        <f t="shared" si="0"/>
        <v>Colorado|Walked</v>
      </c>
      <c r="I42" t="s">
        <v>29</v>
      </c>
      <c r="J42" t="s">
        <v>86</v>
      </c>
    </row>
    <row r="43" spans="1:10" x14ac:dyDescent="0.25">
      <c r="A43" t="s">
        <v>19</v>
      </c>
      <c r="B43" t="s">
        <v>71</v>
      </c>
      <c r="C43" s="6">
        <v>0.19869999999999999</v>
      </c>
      <c r="D43" t="str">
        <f t="shared" si="0"/>
        <v>Colorado|Worked at home</v>
      </c>
      <c r="I43" t="s">
        <v>13</v>
      </c>
      <c r="J43" t="s">
        <v>83</v>
      </c>
    </row>
    <row r="44" spans="1:10" x14ac:dyDescent="0.25">
      <c r="A44" t="s">
        <v>38</v>
      </c>
      <c r="B44" t="s">
        <v>67</v>
      </c>
      <c r="C44" s="6">
        <v>1.9E-3</v>
      </c>
      <c r="D44" t="str">
        <f t="shared" si="0"/>
        <v>Connecticut|Bicycle</v>
      </c>
      <c r="I44" t="s">
        <v>11</v>
      </c>
      <c r="J44" t="s">
        <v>83</v>
      </c>
    </row>
    <row r="45" spans="1:10" x14ac:dyDescent="0.25">
      <c r="A45" t="s">
        <v>38</v>
      </c>
      <c r="B45" t="s">
        <v>72</v>
      </c>
      <c r="C45" s="6">
        <v>8.3199999999999996E-2</v>
      </c>
      <c r="D45" t="str">
        <f t="shared" si="0"/>
        <v>Connecticut|Carpool</v>
      </c>
      <c r="I45" t="s">
        <v>42</v>
      </c>
      <c r="J45" t="s">
        <v>84</v>
      </c>
    </row>
    <row r="46" spans="1:10" x14ac:dyDescent="0.25">
      <c r="A46" t="s">
        <v>38</v>
      </c>
      <c r="B46" t="s">
        <v>73</v>
      </c>
      <c r="C46" s="6">
        <v>0.6986</v>
      </c>
      <c r="D46" t="str">
        <f t="shared" si="0"/>
        <v>Connecticut|Drove alone</v>
      </c>
      <c r="I46" t="s">
        <v>49</v>
      </c>
      <c r="J46" t="s">
        <v>85</v>
      </c>
    </row>
    <row r="47" spans="1:10" x14ac:dyDescent="0.25">
      <c r="A47" t="s">
        <v>38</v>
      </c>
      <c r="B47" t="s">
        <v>70</v>
      </c>
      <c r="C47" s="6">
        <v>3.7400000000000003E-2</v>
      </c>
      <c r="D47" t="str">
        <f t="shared" si="0"/>
        <v>Connecticut|Public transportation</v>
      </c>
      <c r="I47" t="s">
        <v>33</v>
      </c>
      <c r="J47" t="s">
        <v>83</v>
      </c>
    </row>
    <row r="48" spans="1:10" x14ac:dyDescent="0.25">
      <c r="A48" t="s">
        <v>38</v>
      </c>
      <c r="B48" t="s">
        <v>69</v>
      </c>
      <c r="C48" s="6">
        <v>1.3899999999999999E-2</v>
      </c>
      <c r="D48" t="str">
        <f t="shared" si="0"/>
        <v>Connecticut|Taxi, motorcycle, or other</v>
      </c>
      <c r="I48" t="s">
        <v>23</v>
      </c>
      <c r="J48" t="s">
        <v>84</v>
      </c>
    </row>
    <row r="49" spans="1:10" x14ac:dyDescent="0.25">
      <c r="A49" t="s">
        <v>38</v>
      </c>
      <c r="B49" t="s">
        <v>68</v>
      </c>
      <c r="C49" s="6">
        <v>2.23E-2</v>
      </c>
      <c r="D49" t="str">
        <f t="shared" si="0"/>
        <v>Connecticut|Walked</v>
      </c>
      <c r="I49" t="s">
        <v>48</v>
      </c>
      <c r="J49" t="s">
        <v>83</v>
      </c>
    </row>
    <row r="50" spans="1:10" x14ac:dyDescent="0.25">
      <c r="A50" t="s">
        <v>38</v>
      </c>
      <c r="B50" t="s">
        <v>71</v>
      </c>
      <c r="C50" s="6">
        <v>0.14269999999999999</v>
      </c>
      <c r="D50" t="str">
        <f t="shared" si="0"/>
        <v>Connecticut|Worked at home</v>
      </c>
      <c r="I50" t="s">
        <v>45</v>
      </c>
      <c r="J50" t="s">
        <v>86</v>
      </c>
    </row>
    <row r="51" spans="1:10" x14ac:dyDescent="0.25">
      <c r="A51" t="s">
        <v>12</v>
      </c>
      <c r="B51" t="s">
        <v>67</v>
      </c>
      <c r="C51" s="6">
        <v>2.5000000000000001E-3</v>
      </c>
      <c r="D51" t="str">
        <f t="shared" si="0"/>
        <v>Delaware|Bicycle</v>
      </c>
      <c r="I51" t="s">
        <v>24</v>
      </c>
      <c r="J51" t="s">
        <v>84</v>
      </c>
    </row>
    <row r="52" spans="1:10" x14ac:dyDescent="0.25">
      <c r="A52" t="s">
        <v>12</v>
      </c>
      <c r="B52" t="s">
        <v>72</v>
      </c>
      <c r="C52" s="6">
        <v>8.2299999999999998E-2</v>
      </c>
      <c r="D52" t="str">
        <f t="shared" si="0"/>
        <v>Delaware|Carpool</v>
      </c>
    </row>
    <row r="53" spans="1:10" x14ac:dyDescent="0.25">
      <c r="A53" t="s">
        <v>12</v>
      </c>
      <c r="B53" t="s">
        <v>73</v>
      </c>
      <c r="C53" s="6">
        <v>0.72119999999999995</v>
      </c>
      <c r="D53" t="str">
        <f t="shared" si="0"/>
        <v>Delaware|Drove alone</v>
      </c>
    </row>
    <row r="54" spans="1:10" x14ac:dyDescent="0.25">
      <c r="A54" t="s">
        <v>12</v>
      </c>
      <c r="B54" t="s">
        <v>70</v>
      </c>
      <c r="C54" s="6">
        <v>2.3300000000000001E-2</v>
      </c>
      <c r="D54" t="str">
        <f t="shared" si="0"/>
        <v>Delaware|Public transportation</v>
      </c>
    </row>
    <row r="55" spans="1:10" x14ac:dyDescent="0.25">
      <c r="A55" t="s">
        <v>12</v>
      </c>
      <c r="B55" t="s">
        <v>69</v>
      </c>
      <c r="C55" s="6">
        <v>1.3599999999999999E-2</v>
      </c>
      <c r="D55" t="str">
        <f t="shared" si="0"/>
        <v>Delaware|Taxi, motorcycle, or other</v>
      </c>
    </row>
    <row r="56" spans="1:10" x14ac:dyDescent="0.25">
      <c r="A56" t="s">
        <v>12</v>
      </c>
      <c r="B56" t="s">
        <v>68</v>
      </c>
      <c r="C56" s="6">
        <v>2.07E-2</v>
      </c>
      <c r="D56" t="str">
        <f t="shared" si="0"/>
        <v>Delaware|Walked</v>
      </c>
    </row>
    <row r="57" spans="1:10" x14ac:dyDescent="0.25">
      <c r="A57" t="s">
        <v>12</v>
      </c>
      <c r="B57" t="s">
        <v>71</v>
      </c>
      <c r="C57" s="6">
        <v>0.13639999999999999</v>
      </c>
      <c r="D57" t="str">
        <f t="shared" si="0"/>
        <v>Delaware|Worked at home</v>
      </c>
    </row>
    <row r="58" spans="1:10" x14ac:dyDescent="0.25">
      <c r="A58" t="s">
        <v>21</v>
      </c>
      <c r="B58" t="s">
        <v>67</v>
      </c>
      <c r="C58" s="6">
        <v>3.4599999999999999E-2</v>
      </c>
      <c r="D58" t="str">
        <f t="shared" si="0"/>
        <v>District of Columbia|Bicycle</v>
      </c>
    </row>
    <row r="59" spans="1:10" x14ac:dyDescent="0.25">
      <c r="A59" t="s">
        <v>21</v>
      </c>
      <c r="B59" t="s">
        <v>72</v>
      </c>
      <c r="C59" s="6">
        <v>4.1500000000000002E-2</v>
      </c>
      <c r="D59" t="str">
        <f t="shared" si="0"/>
        <v>District of Columbia|Carpool</v>
      </c>
    </row>
    <row r="60" spans="1:10" x14ac:dyDescent="0.25">
      <c r="A60" t="s">
        <v>21</v>
      </c>
      <c r="B60" t="s">
        <v>73</v>
      </c>
      <c r="C60" s="6">
        <v>0.2858</v>
      </c>
      <c r="D60" t="str">
        <f t="shared" si="0"/>
        <v>District of Columbia|Drove alone</v>
      </c>
    </row>
    <row r="61" spans="1:10" x14ac:dyDescent="0.25">
      <c r="A61" t="s">
        <v>21</v>
      </c>
      <c r="B61" t="s">
        <v>70</v>
      </c>
      <c r="C61" s="6">
        <v>0.22900000000000001</v>
      </c>
      <c r="D61" t="str">
        <f t="shared" si="0"/>
        <v>District of Columbia|Public transportation</v>
      </c>
    </row>
    <row r="62" spans="1:10" x14ac:dyDescent="0.25">
      <c r="A62" t="s">
        <v>21</v>
      </c>
      <c r="B62" t="s">
        <v>69</v>
      </c>
      <c r="C62" s="6">
        <v>2.3400000000000001E-2</v>
      </c>
      <c r="D62" t="str">
        <f t="shared" si="0"/>
        <v>District of Columbia|Taxi, motorcycle, or other</v>
      </c>
    </row>
    <row r="63" spans="1:10" x14ac:dyDescent="0.25">
      <c r="A63" t="s">
        <v>21</v>
      </c>
      <c r="B63" t="s">
        <v>68</v>
      </c>
      <c r="C63" s="6">
        <v>0.1128</v>
      </c>
      <c r="D63" t="str">
        <f t="shared" si="0"/>
        <v>District of Columbia|Walked</v>
      </c>
    </row>
    <row r="64" spans="1:10" x14ac:dyDescent="0.25">
      <c r="A64" t="s">
        <v>21</v>
      </c>
      <c r="B64" t="s">
        <v>71</v>
      </c>
      <c r="C64" s="6">
        <v>0.27279999999999999</v>
      </c>
      <c r="D64" t="str">
        <f t="shared" si="0"/>
        <v>District of Columbia|Worked at home</v>
      </c>
    </row>
    <row r="65" spans="1:4" x14ac:dyDescent="0.25">
      <c r="A65" t="s">
        <v>4</v>
      </c>
      <c r="B65" t="s">
        <v>67</v>
      </c>
      <c r="C65" s="6">
        <v>4.8999999999999998E-3</v>
      </c>
      <c r="D65" t="str">
        <f t="shared" si="0"/>
        <v>Florida|Bicycle</v>
      </c>
    </row>
    <row r="66" spans="1:4" x14ac:dyDescent="0.25">
      <c r="A66" t="s">
        <v>4</v>
      </c>
      <c r="B66" t="s">
        <v>72</v>
      </c>
      <c r="C66" s="6">
        <v>9.7100000000000006E-2</v>
      </c>
      <c r="D66" t="str">
        <f t="shared" ref="D66:D129" si="1">A66 &amp; "|" &amp; B66</f>
        <v>Florida|Carpool</v>
      </c>
    </row>
    <row r="67" spans="1:4" x14ac:dyDescent="0.25">
      <c r="A67" t="s">
        <v>4</v>
      </c>
      <c r="B67" t="s">
        <v>73</v>
      </c>
      <c r="C67" s="6">
        <v>0.6915</v>
      </c>
      <c r="D67" t="str">
        <f t="shared" si="1"/>
        <v>Florida|Drove alone</v>
      </c>
    </row>
    <row r="68" spans="1:4" x14ac:dyDescent="0.25">
      <c r="A68" t="s">
        <v>4</v>
      </c>
      <c r="B68" t="s">
        <v>70</v>
      </c>
      <c r="C68" s="6">
        <v>1.3599999999999999E-2</v>
      </c>
      <c r="D68" t="str">
        <f t="shared" si="1"/>
        <v>Florida|Public transportation</v>
      </c>
    </row>
    <row r="69" spans="1:4" x14ac:dyDescent="0.25">
      <c r="A69" t="s">
        <v>4</v>
      </c>
      <c r="B69" t="s">
        <v>69</v>
      </c>
      <c r="C69" s="6">
        <v>0.02</v>
      </c>
      <c r="D69" t="str">
        <f t="shared" si="1"/>
        <v>Florida|Taxi, motorcycle, or other</v>
      </c>
    </row>
    <row r="70" spans="1:4" x14ac:dyDescent="0.25">
      <c r="A70" t="s">
        <v>4</v>
      </c>
      <c r="B70" t="s">
        <v>68</v>
      </c>
      <c r="C70" s="6">
        <v>1.5100000000000001E-2</v>
      </c>
      <c r="D70" t="str">
        <f t="shared" si="1"/>
        <v>Florida|Walked</v>
      </c>
    </row>
    <row r="71" spans="1:4" x14ac:dyDescent="0.25">
      <c r="A71" t="s">
        <v>4</v>
      </c>
      <c r="B71" t="s">
        <v>71</v>
      </c>
      <c r="C71" s="6">
        <v>0.15770000000000001</v>
      </c>
      <c r="D71" t="str">
        <f t="shared" si="1"/>
        <v>Florida|Worked at home</v>
      </c>
    </row>
    <row r="72" spans="1:4" x14ac:dyDescent="0.25">
      <c r="A72" t="s">
        <v>9</v>
      </c>
      <c r="B72" t="s">
        <v>67</v>
      </c>
      <c r="C72" s="6">
        <v>2E-3</v>
      </c>
      <c r="D72" t="str">
        <f t="shared" si="1"/>
        <v>Georgia|Bicycle</v>
      </c>
    </row>
    <row r="73" spans="1:4" x14ac:dyDescent="0.25">
      <c r="A73" t="s">
        <v>9</v>
      </c>
      <c r="B73" t="s">
        <v>72</v>
      </c>
      <c r="C73" s="6">
        <v>9.4600000000000004E-2</v>
      </c>
      <c r="D73" t="str">
        <f t="shared" si="1"/>
        <v>Georgia|Carpool</v>
      </c>
    </row>
    <row r="74" spans="1:4" x14ac:dyDescent="0.25">
      <c r="A74" t="s">
        <v>9</v>
      </c>
      <c r="B74" t="s">
        <v>73</v>
      </c>
      <c r="C74" s="6">
        <v>0.70799999999999996</v>
      </c>
      <c r="D74" t="str">
        <f t="shared" si="1"/>
        <v>Georgia|Drove alone</v>
      </c>
    </row>
    <row r="75" spans="1:4" x14ac:dyDescent="0.25">
      <c r="A75" t="s">
        <v>9</v>
      </c>
      <c r="B75" t="s">
        <v>70</v>
      </c>
      <c r="C75" s="6">
        <v>1.14E-2</v>
      </c>
      <c r="D75" t="str">
        <f t="shared" si="1"/>
        <v>Georgia|Public transportation</v>
      </c>
    </row>
    <row r="76" spans="1:4" x14ac:dyDescent="0.25">
      <c r="A76" t="s">
        <v>9</v>
      </c>
      <c r="B76" t="s">
        <v>69</v>
      </c>
      <c r="C76" s="6">
        <v>1.8100000000000002E-2</v>
      </c>
      <c r="D76" t="str">
        <f t="shared" si="1"/>
        <v>Georgia|Taxi, motorcycle, or other</v>
      </c>
    </row>
    <row r="77" spans="1:4" x14ac:dyDescent="0.25">
      <c r="A77" t="s">
        <v>9</v>
      </c>
      <c r="B77" t="s">
        <v>68</v>
      </c>
      <c r="C77" s="6">
        <v>1.3899999999999999E-2</v>
      </c>
      <c r="D77" t="str">
        <f t="shared" si="1"/>
        <v>Georgia|Walked</v>
      </c>
    </row>
    <row r="78" spans="1:4" x14ac:dyDescent="0.25">
      <c r="A78" t="s">
        <v>9</v>
      </c>
      <c r="B78" t="s">
        <v>71</v>
      </c>
      <c r="C78" s="6">
        <v>0.15210000000000001</v>
      </c>
      <c r="D78" t="str">
        <f t="shared" si="1"/>
        <v>Georgia|Worked at home</v>
      </c>
    </row>
    <row r="79" spans="1:4" x14ac:dyDescent="0.25">
      <c r="A79" t="s">
        <v>32</v>
      </c>
      <c r="B79" t="s">
        <v>67</v>
      </c>
      <c r="C79" s="6">
        <v>8.5000000000000006E-3</v>
      </c>
      <c r="D79" t="str">
        <f t="shared" si="1"/>
        <v>Hawaii|Bicycle</v>
      </c>
    </row>
    <row r="80" spans="1:4" x14ac:dyDescent="0.25">
      <c r="A80" t="s">
        <v>32</v>
      </c>
      <c r="B80" t="s">
        <v>72</v>
      </c>
      <c r="C80" s="6">
        <v>0.15840000000000001</v>
      </c>
      <c r="D80" t="str">
        <f t="shared" si="1"/>
        <v>Hawaii|Carpool</v>
      </c>
    </row>
    <row r="81" spans="1:4" x14ac:dyDescent="0.25">
      <c r="A81" t="s">
        <v>32</v>
      </c>
      <c r="B81" t="s">
        <v>73</v>
      </c>
      <c r="C81" s="6">
        <v>0.64180000000000004</v>
      </c>
      <c r="D81" t="str">
        <f t="shared" si="1"/>
        <v>Hawaii|Drove alone</v>
      </c>
    </row>
    <row r="82" spans="1:4" x14ac:dyDescent="0.25">
      <c r="A82" t="s">
        <v>32</v>
      </c>
      <c r="B82" t="s">
        <v>70</v>
      </c>
      <c r="C82" s="6">
        <v>4.1300000000000003E-2</v>
      </c>
      <c r="D82" t="str">
        <f t="shared" si="1"/>
        <v>Hawaii|Public transportation</v>
      </c>
    </row>
    <row r="83" spans="1:4" x14ac:dyDescent="0.25">
      <c r="A83" t="s">
        <v>32</v>
      </c>
      <c r="B83" t="s">
        <v>69</v>
      </c>
      <c r="C83" s="6">
        <v>2.4500000000000001E-2</v>
      </c>
      <c r="D83" t="str">
        <f t="shared" si="1"/>
        <v>Hawaii|Taxi, motorcycle, or other</v>
      </c>
    </row>
    <row r="84" spans="1:4" x14ac:dyDescent="0.25">
      <c r="A84" t="s">
        <v>32</v>
      </c>
      <c r="B84" t="s">
        <v>68</v>
      </c>
      <c r="C84" s="6">
        <v>3.8800000000000001E-2</v>
      </c>
      <c r="D84" t="str">
        <f t="shared" si="1"/>
        <v>Hawaii|Walked</v>
      </c>
    </row>
    <row r="85" spans="1:4" x14ac:dyDescent="0.25">
      <c r="A85" t="s">
        <v>32</v>
      </c>
      <c r="B85" t="s">
        <v>71</v>
      </c>
      <c r="C85" s="6">
        <v>8.6699999999999999E-2</v>
      </c>
      <c r="D85" t="str">
        <f t="shared" si="1"/>
        <v>Hawaii|Worked at home</v>
      </c>
    </row>
    <row r="86" spans="1:4" x14ac:dyDescent="0.25">
      <c r="A86" t="s">
        <v>31</v>
      </c>
      <c r="B86" t="s">
        <v>67</v>
      </c>
      <c r="C86" s="6">
        <v>7.9000000000000008E-3</v>
      </c>
      <c r="D86" t="str">
        <f t="shared" si="1"/>
        <v>Idaho|Bicycle</v>
      </c>
    </row>
    <row r="87" spans="1:4" x14ac:dyDescent="0.25">
      <c r="A87" t="s">
        <v>31</v>
      </c>
      <c r="B87" t="s">
        <v>72</v>
      </c>
      <c r="C87" s="6">
        <v>0.1021</v>
      </c>
      <c r="D87" t="str">
        <f t="shared" si="1"/>
        <v>Idaho|Carpool</v>
      </c>
    </row>
    <row r="88" spans="1:4" x14ac:dyDescent="0.25">
      <c r="A88" t="s">
        <v>31</v>
      </c>
      <c r="B88" t="s">
        <v>73</v>
      </c>
      <c r="C88" s="6">
        <v>0.7097</v>
      </c>
      <c r="D88" t="str">
        <f t="shared" si="1"/>
        <v>Idaho|Drove alone</v>
      </c>
    </row>
    <row r="89" spans="1:4" x14ac:dyDescent="0.25">
      <c r="A89" t="s">
        <v>31</v>
      </c>
      <c r="B89" t="s">
        <v>70</v>
      </c>
      <c r="C89" s="6">
        <v>6.1000000000000004E-3</v>
      </c>
      <c r="D89" t="str">
        <f t="shared" si="1"/>
        <v>Idaho|Public transportation</v>
      </c>
    </row>
    <row r="90" spans="1:4" x14ac:dyDescent="0.25">
      <c r="A90" t="s">
        <v>31</v>
      </c>
      <c r="B90" t="s">
        <v>69</v>
      </c>
      <c r="C90" s="6">
        <v>1.1299999999999999E-2</v>
      </c>
      <c r="D90" t="str">
        <f t="shared" si="1"/>
        <v>Idaho|Taxi, motorcycle, or other</v>
      </c>
    </row>
    <row r="91" spans="1:4" x14ac:dyDescent="0.25">
      <c r="A91" t="s">
        <v>31</v>
      </c>
      <c r="B91" t="s">
        <v>68</v>
      </c>
      <c r="C91" s="6">
        <v>2.76E-2</v>
      </c>
      <c r="D91" t="str">
        <f t="shared" si="1"/>
        <v>Idaho|Walked</v>
      </c>
    </row>
    <row r="92" spans="1:4" x14ac:dyDescent="0.25">
      <c r="A92" t="s">
        <v>31</v>
      </c>
      <c r="B92" t="s">
        <v>71</v>
      </c>
      <c r="C92" s="6">
        <v>0.1353</v>
      </c>
      <c r="D92" t="str">
        <f t="shared" si="1"/>
        <v>Idaho|Worked at home</v>
      </c>
    </row>
    <row r="93" spans="1:4" x14ac:dyDescent="0.25">
      <c r="A93" t="s">
        <v>30</v>
      </c>
      <c r="B93" t="s">
        <v>67</v>
      </c>
      <c r="C93" s="6">
        <v>5.8999999999999999E-3</v>
      </c>
      <c r="D93" t="str">
        <f t="shared" si="1"/>
        <v>Illinois|Bicycle</v>
      </c>
    </row>
    <row r="94" spans="1:4" x14ac:dyDescent="0.25">
      <c r="A94" t="s">
        <v>30</v>
      </c>
      <c r="B94" t="s">
        <v>72</v>
      </c>
      <c r="C94" s="6">
        <v>8.2600000000000007E-2</v>
      </c>
      <c r="D94" t="str">
        <f t="shared" si="1"/>
        <v>Illinois|Carpool</v>
      </c>
    </row>
    <row r="95" spans="1:4" x14ac:dyDescent="0.25">
      <c r="A95" t="s">
        <v>30</v>
      </c>
      <c r="B95" t="s">
        <v>73</v>
      </c>
      <c r="C95" s="6">
        <v>0.6623</v>
      </c>
      <c r="D95" t="str">
        <f t="shared" si="1"/>
        <v>Illinois|Drove alone</v>
      </c>
    </row>
    <row r="96" spans="1:4" x14ac:dyDescent="0.25">
      <c r="A96" t="s">
        <v>30</v>
      </c>
      <c r="B96" t="s">
        <v>70</v>
      </c>
      <c r="C96" s="6">
        <v>6.6000000000000003E-2</v>
      </c>
      <c r="D96" t="str">
        <f t="shared" si="1"/>
        <v>Illinois|Public transportation</v>
      </c>
    </row>
    <row r="97" spans="1:4" x14ac:dyDescent="0.25">
      <c r="A97" t="s">
        <v>30</v>
      </c>
      <c r="B97" t="s">
        <v>69</v>
      </c>
      <c r="C97" s="6">
        <v>1.35E-2</v>
      </c>
      <c r="D97" t="str">
        <f t="shared" si="1"/>
        <v>Illinois|Taxi, motorcycle, or other</v>
      </c>
    </row>
    <row r="98" spans="1:4" x14ac:dyDescent="0.25">
      <c r="A98" t="s">
        <v>30</v>
      </c>
      <c r="B98" t="s">
        <v>68</v>
      </c>
      <c r="C98" s="6">
        <v>2.9399999999999999E-2</v>
      </c>
      <c r="D98" t="str">
        <f t="shared" si="1"/>
        <v>Illinois|Walked</v>
      </c>
    </row>
    <row r="99" spans="1:4" x14ac:dyDescent="0.25">
      <c r="A99" t="s">
        <v>30</v>
      </c>
      <c r="B99" t="s">
        <v>71</v>
      </c>
      <c r="C99" s="6">
        <v>0.14030000000000001</v>
      </c>
      <c r="D99" t="str">
        <f t="shared" si="1"/>
        <v>Illinois|Worked at home</v>
      </c>
    </row>
    <row r="100" spans="1:4" x14ac:dyDescent="0.25">
      <c r="A100" t="s">
        <v>36</v>
      </c>
      <c r="B100" t="s">
        <v>67</v>
      </c>
      <c r="C100" s="6">
        <v>3.3E-3</v>
      </c>
      <c r="D100" t="str">
        <f t="shared" si="1"/>
        <v>Indiana|Bicycle</v>
      </c>
    </row>
    <row r="101" spans="1:4" x14ac:dyDescent="0.25">
      <c r="A101" t="s">
        <v>36</v>
      </c>
      <c r="B101" t="s">
        <v>72</v>
      </c>
      <c r="C101" s="6">
        <v>9.4399999999999998E-2</v>
      </c>
      <c r="D101" t="str">
        <f t="shared" si="1"/>
        <v>Indiana|Carpool</v>
      </c>
    </row>
    <row r="102" spans="1:4" x14ac:dyDescent="0.25">
      <c r="A102" t="s">
        <v>36</v>
      </c>
      <c r="B102" t="s">
        <v>73</v>
      </c>
      <c r="C102" s="6">
        <v>0.76380000000000003</v>
      </c>
      <c r="D102" t="str">
        <f t="shared" si="1"/>
        <v>Indiana|Drove alone</v>
      </c>
    </row>
    <row r="103" spans="1:4" x14ac:dyDescent="0.25">
      <c r="A103" t="s">
        <v>36</v>
      </c>
      <c r="B103" t="s">
        <v>70</v>
      </c>
      <c r="C103" s="6">
        <v>6.8999999999999999E-3</v>
      </c>
      <c r="D103" t="str">
        <f t="shared" si="1"/>
        <v>Indiana|Public transportation</v>
      </c>
    </row>
    <row r="104" spans="1:4" x14ac:dyDescent="0.25">
      <c r="A104" t="s">
        <v>36</v>
      </c>
      <c r="B104" t="s">
        <v>69</v>
      </c>
      <c r="C104" s="6">
        <v>9.5999999999999992E-3</v>
      </c>
      <c r="D104" t="str">
        <f t="shared" si="1"/>
        <v>Indiana|Taxi, motorcycle, or other</v>
      </c>
    </row>
    <row r="105" spans="1:4" x14ac:dyDescent="0.25">
      <c r="A105" t="s">
        <v>36</v>
      </c>
      <c r="B105" t="s">
        <v>68</v>
      </c>
      <c r="C105" s="6">
        <v>1.84E-2</v>
      </c>
      <c r="D105" t="str">
        <f t="shared" si="1"/>
        <v>Indiana|Walked</v>
      </c>
    </row>
    <row r="106" spans="1:4" x14ac:dyDescent="0.25">
      <c r="A106" t="s">
        <v>36</v>
      </c>
      <c r="B106" t="s">
        <v>71</v>
      </c>
      <c r="C106" s="6">
        <v>0.1036</v>
      </c>
      <c r="D106" t="str">
        <f t="shared" si="1"/>
        <v>Indiana|Worked at home</v>
      </c>
    </row>
    <row r="107" spans="1:4" x14ac:dyDescent="0.25">
      <c r="A107" t="s">
        <v>47</v>
      </c>
      <c r="B107" t="s">
        <v>67</v>
      </c>
      <c r="C107" s="6">
        <v>3.8E-3</v>
      </c>
      <c r="D107" t="str">
        <f t="shared" si="1"/>
        <v>Iowa|Bicycle</v>
      </c>
    </row>
    <row r="108" spans="1:4" x14ac:dyDescent="0.25">
      <c r="A108" t="s">
        <v>47</v>
      </c>
      <c r="B108" t="s">
        <v>72</v>
      </c>
      <c r="C108" s="6">
        <v>8.2100000000000006E-2</v>
      </c>
      <c r="D108" t="str">
        <f t="shared" si="1"/>
        <v>Iowa|Carpool</v>
      </c>
    </row>
    <row r="109" spans="1:4" x14ac:dyDescent="0.25">
      <c r="A109" t="s">
        <v>47</v>
      </c>
      <c r="B109" t="s">
        <v>73</v>
      </c>
      <c r="C109" s="6">
        <v>0.7621</v>
      </c>
      <c r="D109" t="str">
        <f t="shared" si="1"/>
        <v>Iowa|Drove alone</v>
      </c>
    </row>
    <row r="110" spans="1:4" x14ac:dyDescent="0.25">
      <c r="A110" t="s">
        <v>47</v>
      </c>
      <c r="B110" t="s">
        <v>70</v>
      </c>
      <c r="C110" s="6">
        <v>7.4999999999999997E-3</v>
      </c>
      <c r="D110" t="str">
        <f t="shared" si="1"/>
        <v>Iowa|Public transportation</v>
      </c>
    </row>
    <row r="111" spans="1:4" x14ac:dyDescent="0.25">
      <c r="A111" t="s">
        <v>47</v>
      </c>
      <c r="B111" t="s">
        <v>69</v>
      </c>
      <c r="C111" s="6">
        <v>1.17E-2</v>
      </c>
      <c r="D111" t="str">
        <f t="shared" si="1"/>
        <v>Iowa|Taxi, motorcycle, or other</v>
      </c>
    </row>
    <row r="112" spans="1:4" x14ac:dyDescent="0.25">
      <c r="A112" t="s">
        <v>47</v>
      </c>
      <c r="B112" t="s">
        <v>68</v>
      </c>
      <c r="C112" s="6">
        <v>2.7900000000000001E-2</v>
      </c>
      <c r="D112" t="str">
        <f t="shared" si="1"/>
        <v>Iowa|Walked</v>
      </c>
    </row>
    <row r="113" spans="1:4" x14ac:dyDescent="0.25">
      <c r="A113" t="s">
        <v>47</v>
      </c>
      <c r="B113" t="s">
        <v>71</v>
      </c>
      <c r="C113" s="6">
        <v>0.1048</v>
      </c>
      <c r="D113" t="str">
        <f t="shared" si="1"/>
        <v>Iowa|Worked at home</v>
      </c>
    </row>
    <row r="114" spans="1:4" x14ac:dyDescent="0.25">
      <c r="A114" t="s">
        <v>39</v>
      </c>
      <c r="B114" t="s">
        <v>67</v>
      </c>
      <c r="C114" s="6">
        <v>2.0999999999999999E-3</v>
      </c>
      <c r="D114" t="str">
        <f t="shared" si="1"/>
        <v>Kansas|Bicycle</v>
      </c>
    </row>
    <row r="115" spans="1:4" x14ac:dyDescent="0.25">
      <c r="A115" t="s">
        <v>39</v>
      </c>
      <c r="B115" t="s">
        <v>72</v>
      </c>
      <c r="C115" s="6">
        <v>8.77E-2</v>
      </c>
      <c r="D115" t="str">
        <f t="shared" si="1"/>
        <v>Kansas|Carpool</v>
      </c>
    </row>
    <row r="116" spans="1:4" x14ac:dyDescent="0.25">
      <c r="A116" t="s">
        <v>39</v>
      </c>
      <c r="B116" t="s">
        <v>73</v>
      </c>
      <c r="C116" s="6">
        <v>0.76629999999999998</v>
      </c>
      <c r="D116" t="str">
        <f t="shared" si="1"/>
        <v>Kansas|Drove alone</v>
      </c>
    </row>
    <row r="117" spans="1:4" x14ac:dyDescent="0.25">
      <c r="A117" t="s">
        <v>39</v>
      </c>
      <c r="B117" t="s">
        <v>70</v>
      </c>
      <c r="C117" s="6">
        <v>4.3E-3</v>
      </c>
      <c r="D117" t="str">
        <f t="shared" si="1"/>
        <v>Kansas|Public transportation</v>
      </c>
    </row>
    <row r="118" spans="1:4" x14ac:dyDescent="0.25">
      <c r="A118" t="s">
        <v>39</v>
      </c>
      <c r="B118" t="s">
        <v>69</v>
      </c>
      <c r="C118" s="6">
        <v>1.0699999999999999E-2</v>
      </c>
      <c r="D118" t="str">
        <f t="shared" si="1"/>
        <v>Kansas|Taxi, motorcycle, or other</v>
      </c>
    </row>
    <row r="119" spans="1:4" x14ac:dyDescent="0.25">
      <c r="A119" t="s">
        <v>39</v>
      </c>
      <c r="B119" t="s">
        <v>68</v>
      </c>
      <c r="C119" s="6">
        <v>2.5100000000000001E-2</v>
      </c>
      <c r="D119" t="str">
        <f t="shared" si="1"/>
        <v>Kansas|Walked</v>
      </c>
    </row>
    <row r="120" spans="1:4" x14ac:dyDescent="0.25">
      <c r="A120" t="s">
        <v>39</v>
      </c>
      <c r="B120" t="s">
        <v>71</v>
      </c>
      <c r="C120" s="6">
        <v>0.10390000000000001</v>
      </c>
      <c r="D120" t="str">
        <f t="shared" si="1"/>
        <v>Kansas|Worked at home</v>
      </c>
    </row>
    <row r="121" spans="1:4" x14ac:dyDescent="0.25">
      <c r="A121" t="s">
        <v>10</v>
      </c>
      <c r="B121" t="s">
        <v>67</v>
      </c>
      <c r="C121" s="6">
        <v>2.0999999999999999E-3</v>
      </c>
      <c r="D121" t="str">
        <f t="shared" si="1"/>
        <v>Kentucky|Bicycle</v>
      </c>
    </row>
    <row r="122" spans="1:4" x14ac:dyDescent="0.25">
      <c r="A122" t="s">
        <v>10</v>
      </c>
      <c r="B122" t="s">
        <v>72</v>
      </c>
      <c r="C122" s="6">
        <v>9.9299999999999999E-2</v>
      </c>
      <c r="D122" t="str">
        <f t="shared" si="1"/>
        <v>Kentucky|Carpool</v>
      </c>
    </row>
    <row r="123" spans="1:4" x14ac:dyDescent="0.25">
      <c r="A123" t="s">
        <v>10</v>
      </c>
      <c r="B123" t="s">
        <v>73</v>
      </c>
      <c r="C123" s="6">
        <v>0.76680000000000004</v>
      </c>
      <c r="D123" t="str">
        <f t="shared" si="1"/>
        <v>Kentucky|Drove alone</v>
      </c>
    </row>
    <row r="124" spans="1:4" x14ac:dyDescent="0.25">
      <c r="A124" t="s">
        <v>10</v>
      </c>
      <c r="B124" t="s">
        <v>70</v>
      </c>
      <c r="C124" s="6">
        <v>6.7999999999999996E-3</v>
      </c>
      <c r="D124" t="str">
        <f t="shared" si="1"/>
        <v>Kentucky|Public transportation</v>
      </c>
    </row>
    <row r="125" spans="1:4" x14ac:dyDescent="0.25">
      <c r="A125" t="s">
        <v>10</v>
      </c>
      <c r="B125" t="s">
        <v>69</v>
      </c>
      <c r="C125" s="6">
        <v>1.17E-2</v>
      </c>
      <c r="D125" t="str">
        <f t="shared" si="1"/>
        <v>Kentucky|Taxi, motorcycle, or other</v>
      </c>
    </row>
    <row r="126" spans="1:4" x14ac:dyDescent="0.25">
      <c r="A126" t="s">
        <v>10</v>
      </c>
      <c r="B126" t="s">
        <v>68</v>
      </c>
      <c r="C126" s="6">
        <v>1.8499999999999999E-2</v>
      </c>
      <c r="D126" t="str">
        <f t="shared" si="1"/>
        <v>Kentucky|Walked</v>
      </c>
    </row>
    <row r="127" spans="1:4" x14ac:dyDescent="0.25">
      <c r="A127" t="s">
        <v>10</v>
      </c>
      <c r="B127" t="s">
        <v>71</v>
      </c>
      <c r="C127" s="6">
        <v>9.4700000000000006E-2</v>
      </c>
      <c r="D127" t="str">
        <f t="shared" si="1"/>
        <v>Kentucky|Worked at home</v>
      </c>
    </row>
    <row r="128" spans="1:4" x14ac:dyDescent="0.25">
      <c r="A128" t="s">
        <v>6</v>
      </c>
      <c r="B128" t="s">
        <v>67</v>
      </c>
      <c r="C128" s="6">
        <v>3.5000000000000001E-3</v>
      </c>
      <c r="D128" t="str">
        <f t="shared" si="1"/>
        <v>Louisiana|Bicycle</v>
      </c>
    </row>
    <row r="129" spans="1:4" x14ac:dyDescent="0.25">
      <c r="A129" t="s">
        <v>6</v>
      </c>
      <c r="B129" t="s">
        <v>72</v>
      </c>
      <c r="C129" s="6">
        <v>8.6199999999999999E-2</v>
      </c>
      <c r="D129" t="str">
        <f t="shared" si="1"/>
        <v>Louisiana|Carpool</v>
      </c>
    </row>
    <row r="130" spans="1:4" x14ac:dyDescent="0.25">
      <c r="A130" t="s">
        <v>6</v>
      </c>
      <c r="B130" t="s">
        <v>73</v>
      </c>
      <c r="C130" s="6">
        <v>0.78649999999999998</v>
      </c>
      <c r="D130" t="str">
        <f t="shared" ref="D130:D193" si="2">A130 &amp; "|" &amp; B130</f>
        <v>Louisiana|Drove alone</v>
      </c>
    </row>
    <row r="131" spans="1:4" x14ac:dyDescent="0.25">
      <c r="A131" t="s">
        <v>6</v>
      </c>
      <c r="B131" t="s">
        <v>70</v>
      </c>
      <c r="C131" s="6">
        <v>7.9000000000000008E-3</v>
      </c>
      <c r="D131" t="str">
        <f t="shared" si="2"/>
        <v>Louisiana|Public transportation</v>
      </c>
    </row>
    <row r="132" spans="1:4" x14ac:dyDescent="0.25">
      <c r="A132" t="s">
        <v>6</v>
      </c>
      <c r="B132" t="s">
        <v>69</v>
      </c>
      <c r="C132" s="6">
        <v>1.6500000000000001E-2</v>
      </c>
      <c r="D132" t="str">
        <f t="shared" si="2"/>
        <v>Louisiana|Taxi, motorcycle, or other</v>
      </c>
    </row>
    <row r="133" spans="1:4" x14ac:dyDescent="0.25">
      <c r="A133" t="s">
        <v>6</v>
      </c>
      <c r="B133" t="s">
        <v>68</v>
      </c>
      <c r="C133" s="6">
        <v>1.8700000000000001E-2</v>
      </c>
      <c r="D133" t="str">
        <f t="shared" si="2"/>
        <v>Louisiana|Walked</v>
      </c>
    </row>
    <row r="134" spans="1:4" x14ac:dyDescent="0.25">
      <c r="A134" t="s">
        <v>6</v>
      </c>
      <c r="B134" t="s">
        <v>71</v>
      </c>
      <c r="C134" s="6">
        <v>8.0699999999999994E-2</v>
      </c>
      <c r="D134" t="str">
        <f t="shared" si="2"/>
        <v>Louisiana|Worked at home</v>
      </c>
    </row>
    <row r="135" spans="1:4" x14ac:dyDescent="0.25">
      <c r="A135" t="s">
        <v>37</v>
      </c>
      <c r="B135" t="s">
        <v>67</v>
      </c>
      <c r="C135" s="6">
        <v>3.2000000000000002E-3</v>
      </c>
      <c r="D135" t="str">
        <f t="shared" si="2"/>
        <v>Maine|Bicycle</v>
      </c>
    </row>
    <row r="136" spans="1:4" x14ac:dyDescent="0.25">
      <c r="A136" t="s">
        <v>37</v>
      </c>
      <c r="B136" t="s">
        <v>72</v>
      </c>
      <c r="C136" s="6">
        <v>7.8200000000000006E-2</v>
      </c>
      <c r="D136" t="str">
        <f t="shared" si="2"/>
        <v>Maine|Carpool</v>
      </c>
    </row>
    <row r="137" spans="1:4" x14ac:dyDescent="0.25">
      <c r="A137" t="s">
        <v>37</v>
      </c>
      <c r="B137" t="s">
        <v>73</v>
      </c>
      <c r="C137" s="6">
        <v>0.72189999999999999</v>
      </c>
      <c r="D137" t="str">
        <f t="shared" si="2"/>
        <v>Maine|Drove alone</v>
      </c>
    </row>
    <row r="138" spans="1:4" x14ac:dyDescent="0.25">
      <c r="A138" t="s">
        <v>37</v>
      </c>
      <c r="B138" t="s">
        <v>70</v>
      </c>
      <c r="C138" s="6">
        <v>7.9000000000000008E-3</v>
      </c>
      <c r="D138" t="str">
        <f t="shared" si="2"/>
        <v>Maine|Public transportation</v>
      </c>
    </row>
    <row r="139" spans="1:4" x14ac:dyDescent="0.25">
      <c r="A139" t="s">
        <v>37</v>
      </c>
      <c r="B139" t="s">
        <v>69</v>
      </c>
      <c r="C139" s="6">
        <v>1.23E-2</v>
      </c>
      <c r="D139" t="str">
        <f t="shared" si="2"/>
        <v>Maine|Taxi, motorcycle, or other</v>
      </c>
    </row>
    <row r="140" spans="1:4" x14ac:dyDescent="0.25">
      <c r="A140" t="s">
        <v>37</v>
      </c>
      <c r="B140" t="s">
        <v>68</v>
      </c>
      <c r="C140" s="6">
        <v>3.3399999999999999E-2</v>
      </c>
      <c r="D140" t="str">
        <f t="shared" si="2"/>
        <v>Maine|Walked</v>
      </c>
    </row>
    <row r="141" spans="1:4" x14ac:dyDescent="0.25">
      <c r="A141" t="s">
        <v>37</v>
      </c>
      <c r="B141" t="s">
        <v>71</v>
      </c>
      <c r="C141" s="6">
        <v>0.14299999999999999</v>
      </c>
      <c r="D141" t="str">
        <f t="shared" si="2"/>
        <v>Maine|Worked at home</v>
      </c>
    </row>
    <row r="142" spans="1:4" x14ac:dyDescent="0.25">
      <c r="A142" t="s">
        <v>14</v>
      </c>
      <c r="B142" t="s">
        <v>67</v>
      </c>
      <c r="C142" s="6">
        <v>2.8999999999999998E-3</v>
      </c>
      <c r="D142" t="str">
        <f t="shared" si="2"/>
        <v>Maryland|Bicycle</v>
      </c>
    </row>
    <row r="143" spans="1:4" x14ac:dyDescent="0.25">
      <c r="A143" t="s">
        <v>14</v>
      </c>
      <c r="B143" t="s">
        <v>72</v>
      </c>
      <c r="C143" s="6">
        <v>8.3400000000000002E-2</v>
      </c>
      <c r="D143" t="str">
        <f t="shared" si="2"/>
        <v>Maryland|Carpool</v>
      </c>
    </row>
    <row r="144" spans="1:4" x14ac:dyDescent="0.25">
      <c r="A144" t="s">
        <v>14</v>
      </c>
      <c r="B144" t="s">
        <v>73</v>
      </c>
      <c r="C144" s="6">
        <v>0.65629999999999999</v>
      </c>
      <c r="D144" t="str">
        <f t="shared" si="2"/>
        <v>Maryland|Drove alone</v>
      </c>
    </row>
    <row r="145" spans="1:4" x14ac:dyDescent="0.25">
      <c r="A145" t="s">
        <v>14</v>
      </c>
      <c r="B145" t="s">
        <v>70</v>
      </c>
      <c r="C145" s="6">
        <v>4.8800000000000003E-2</v>
      </c>
      <c r="D145" t="str">
        <f t="shared" si="2"/>
        <v>Maryland|Public transportation</v>
      </c>
    </row>
    <row r="146" spans="1:4" x14ac:dyDescent="0.25">
      <c r="A146" t="s">
        <v>14</v>
      </c>
      <c r="B146" t="s">
        <v>69</v>
      </c>
      <c r="C146" s="6">
        <v>1.7600000000000001E-2</v>
      </c>
      <c r="D146" t="str">
        <f t="shared" si="2"/>
        <v>Maryland|Taxi, motorcycle, or other</v>
      </c>
    </row>
    <row r="147" spans="1:4" x14ac:dyDescent="0.25">
      <c r="A147" t="s">
        <v>14</v>
      </c>
      <c r="B147" t="s">
        <v>68</v>
      </c>
      <c r="C147" s="6">
        <v>2.1999999999999999E-2</v>
      </c>
      <c r="D147" t="str">
        <f t="shared" si="2"/>
        <v>Maryland|Walked</v>
      </c>
    </row>
    <row r="148" spans="1:4" x14ac:dyDescent="0.25">
      <c r="A148" t="s">
        <v>14</v>
      </c>
      <c r="B148" t="s">
        <v>71</v>
      </c>
      <c r="C148" s="6">
        <v>0.16900000000000001</v>
      </c>
      <c r="D148" t="str">
        <f t="shared" si="2"/>
        <v>Maryland|Worked at home</v>
      </c>
    </row>
    <row r="149" spans="1:4" x14ac:dyDescent="0.25">
      <c r="A149" t="s">
        <v>46</v>
      </c>
      <c r="B149" t="s">
        <v>67</v>
      </c>
      <c r="C149" s="6">
        <v>1.0999999999999999E-2</v>
      </c>
      <c r="D149" t="str">
        <f t="shared" si="2"/>
        <v>Massachusetts|Bicycle</v>
      </c>
    </row>
    <row r="150" spans="1:4" x14ac:dyDescent="0.25">
      <c r="A150" t="s">
        <v>46</v>
      </c>
      <c r="B150" t="s">
        <v>72</v>
      </c>
      <c r="C150" s="6">
        <v>7.1499999999999994E-2</v>
      </c>
      <c r="D150" t="str">
        <f t="shared" si="2"/>
        <v>Massachusetts|Carpool</v>
      </c>
    </row>
    <row r="151" spans="1:4" x14ac:dyDescent="0.25">
      <c r="A151" t="s">
        <v>46</v>
      </c>
      <c r="B151" t="s">
        <v>73</v>
      </c>
      <c r="C151" s="6">
        <v>0.62819999999999998</v>
      </c>
      <c r="D151" t="str">
        <f t="shared" si="2"/>
        <v>Massachusetts|Drove alone</v>
      </c>
    </row>
    <row r="152" spans="1:4" x14ac:dyDescent="0.25">
      <c r="A152" t="s">
        <v>46</v>
      </c>
      <c r="B152" t="s">
        <v>70</v>
      </c>
      <c r="C152" s="6">
        <v>7.2700000000000001E-2</v>
      </c>
      <c r="D152" t="str">
        <f t="shared" si="2"/>
        <v>Massachusetts|Public transportation</v>
      </c>
    </row>
    <row r="153" spans="1:4" x14ac:dyDescent="0.25">
      <c r="A153" t="s">
        <v>46</v>
      </c>
      <c r="B153" t="s">
        <v>69</v>
      </c>
      <c r="C153" s="6">
        <v>1.8499999999999999E-2</v>
      </c>
      <c r="D153" t="str">
        <f t="shared" si="2"/>
        <v>Massachusetts|Taxi, motorcycle, or other</v>
      </c>
    </row>
    <row r="154" spans="1:4" x14ac:dyDescent="0.25">
      <c r="A154" t="s">
        <v>46</v>
      </c>
      <c r="B154" t="s">
        <v>68</v>
      </c>
      <c r="C154" s="6">
        <v>4.2099999999999999E-2</v>
      </c>
      <c r="D154" t="str">
        <f t="shared" si="2"/>
        <v>Massachusetts|Walked</v>
      </c>
    </row>
    <row r="155" spans="1:4" x14ac:dyDescent="0.25">
      <c r="A155" t="s">
        <v>46</v>
      </c>
      <c r="B155" t="s">
        <v>71</v>
      </c>
      <c r="C155" s="6">
        <v>0.156</v>
      </c>
      <c r="D155" t="str">
        <f t="shared" si="2"/>
        <v>Massachusetts|Worked at home</v>
      </c>
    </row>
    <row r="156" spans="1:4" x14ac:dyDescent="0.25">
      <c r="A156" t="s">
        <v>27</v>
      </c>
      <c r="B156" t="s">
        <v>67</v>
      </c>
      <c r="C156" s="6">
        <v>3.5999999999999999E-3</v>
      </c>
      <c r="D156" t="str">
        <f t="shared" si="2"/>
        <v>Michigan|Bicycle</v>
      </c>
    </row>
    <row r="157" spans="1:4" x14ac:dyDescent="0.25">
      <c r="A157" t="s">
        <v>27</v>
      </c>
      <c r="B157" t="s">
        <v>72</v>
      </c>
      <c r="C157" s="6">
        <v>8.4199999999999997E-2</v>
      </c>
      <c r="D157" t="str">
        <f t="shared" si="2"/>
        <v>Michigan|Carpool</v>
      </c>
    </row>
    <row r="158" spans="1:4" x14ac:dyDescent="0.25">
      <c r="A158" t="s">
        <v>27</v>
      </c>
      <c r="B158" t="s">
        <v>73</v>
      </c>
      <c r="C158" s="6">
        <v>0.75019999999999998</v>
      </c>
      <c r="D158" t="str">
        <f t="shared" si="2"/>
        <v>Michigan|Drove alone</v>
      </c>
    </row>
    <row r="159" spans="1:4" x14ac:dyDescent="0.25">
      <c r="A159" t="s">
        <v>27</v>
      </c>
      <c r="B159" t="s">
        <v>70</v>
      </c>
      <c r="C159" s="6">
        <v>9.1000000000000004E-3</v>
      </c>
      <c r="D159" t="str">
        <f t="shared" si="2"/>
        <v>Michigan|Public transportation</v>
      </c>
    </row>
    <row r="160" spans="1:4" x14ac:dyDescent="0.25">
      <c r="A160" t="s">
        <v>27</v>
      </c>
      <c r="B160" t="s">
        <v>69</v>
      </c>
      <c r="C160" s="6">
        <v>1.04E-2</v>
      </c>
      <c r="D160" t="str">
        <f t="shared" si="2"/>
        <v>Michigan|Taxi, motorcycle, or other</v>
      </c>
    </row>
    <row r="161" spans="1:4" x14ac:dyDescent="0.25">
      <c r="A161" t="s">
        <v>27</v>
      </c>
      <c r="B161" t="s">
        <v>68</v>
      </c>
      <c r="C161" s="6">
        <v>2.0299999999999999E-2</v>
      </c>
      <c r="D161" t="str">
        <f t="shared" si="2"/>
        <v>Michigan|Walked</v>
      </c>
    </row>
    <row r="162" spans="1:4" x14ac:dyDescent="0.25">
      <c r="A162" t="s">
        <v>27</v>
      </c>
      <c r="B162" t="s">
        <v>71</v>
      </c>
      <c r="C162" s="6">
        <v>0.1222</v>
      </c>
      <c r="D162" t="str">
        <f t="shared" si="2"/>
        <v>Michigan|Worked at home</v>
      </c>
    </row>
    <row r="163" spans="1:4" x14ac:dyDescent="0.25">
      <c r="A163" t="s">
        <v>50</v>
      </c>
      <c r="B163" t="s">
        <v>67</v>
      </c>
      <c r="C163" s="6">
        <v>4.4999999999999997E-3</v>
      </c>
      <c r="D163" t="str">
        <f t="shared" si="2"/>
        <v>Minnesota|Bicycle</v>
      </c>
    </row>
    <row r="164" spans="1:4" x14ac:dyDescent="0.25">
      <c r="A164" t="s">
        <v>50</v>
      </c>
      <c r="B164" t="s">
        <v>72</v>
      </c>
      <c r="C164" s="6">
        <v>8.0299999999999996E-2</v>
      </c>
      <c r="D164" t="str">
        <f t="shared" si="2"/>
        <v>Minnesota|Carpool</v>
      </c>
    </row>
    <row r="165" spans="1:4" x14ac:dyDescent="0.25">
      <c r="A165" t="s">
        <v>50</v>
      </c>
      <c r="B165" t="s">
        <v>73</v>
      </c>
      <c r="C165" s="6">
        <v>0.69840000000000002</v>
      </c>
      <c r="D165" t="str">
        <f t="shared" si="2"/>
        <v>Minnesota|Drove alone</v>
      </c>
    </row>
    <row r="166" spans="1:4" x14ac:dyDescent="0.25">
      <c r="A166" t="s">
        <v>50</v>
      </c>
      <c r="B166" t="s">
        <v>70</v>
      </c>
      <c r="C166" s="6">
        <v>1.72E-2</v>
      </c>
      <c r="D166" t="str">
        <f t="shared" si="2"/>
        <v>Minnesota|Public transportation</v>
      </c>
    </row>
    <row r="167" spans="1:4" x14ac:dyDescent="0.25">
      <c r="A167" t="s">
        <v>50</v>
      </c>
      <c r="B167" t="s">
        <v>69</v>
      </c>
      <c r="C167" s="6">
        <v>1.23E-2</v>
      </c>
      <c r="D167" t="str">
        <f t="shared" si="2"/>
        <v>Minnesota|Taxi, motorcycle, or other</v>
      </c>
    </row>
    <row r="168" spans="1:4" x14ac:dyDescent="0.25">
      <c r="A168" t="s">
        <v>50</v>
      </c>
      <c r="B168" t="s">
        <v>68</v>
      </c>
      <c r="C168" s="6">
        <v>2.5999999999999999E-2</v>
      </c>
      <c r="D168" t="str">
        <f t="shared" si="2"/>
        <v>Minnesota|Walked</v>
      </c>
    </row>
    <row r="169" spans="1:4" x14ac:dyDescent="0.25">
      <c r="A169" t="s">
        <v>50</v>
      </c>
      <c r="B169" t="s">
        <v>71</v>
      </c>
      <c r="C169" s="6">
        <v>0.1613</v>
      </c>
      <c r="D169" t="str">
        <f t="shared" si="2"/>
        <v>Minnesota|Worked at home</v>
      </c>
    </row>
    <row r="170" spans="1:4" x14ac:dyDescent="0.25">
      <c r="A170" t="s">
        <v>7</v>
      </c>
      <c r="B170" t="s">
        <v>67</v>
      </c>
      <c r="C170" s="6">
        <v>1E-3</v>
      </c>
      <c r="D170" t="str">
        <f t="shared" si="2"/>
        <v>Mississippi|Bicycle</v>
      </c>
    </row>
    <row r="171" spans="1:4" x14ac:dyDescent="0.25">
      <c r="A171" t="s">
        <v>7</v>
      </c>
      <c r="B171" t="s">
        <v>72</v>
      </c>
      <c r="C171" s="6">
        <v>0.1032</v>
      </c>
      <c r="D171" t="str">
        <f t="shared" si="2"/>
        <v>Mississippi|Carpool</v>
      </c>
    </row>
    <row r="172" spans="1:4" x14ac:dyDescent="0.25">
      <c r="A172" t="s">
        <v>7</v>
      </c>
      <c r="B172" t="s">
        <v>73</v>
      </c>
      <c r="C172" s="6">
        <v>0.80320000000000003</v>
      </c>
      <c r="D172" t="str">
        <f t="shared" si="2"/>
        <v>Mississippi|Drove alone</v>
      </c>
    </row>
    <row r="173" spans="1:4" x14ac:dyDescent="0.25">
      <c r="A173" t="s">
        <v>7</v>
      </c>
      <c r="B173" t="s">
        <v>70</v>
      </c>
      <c r="C173" s="6">
        <v>2.3E-3</v>
      </c>
      <c r="D173" t="str">
        <f t="shared" si="2"/>
        <v>Mississippi|Public transportation</v>
      </c>
    </row>
    <row r="174" spans="1:4" x14ac:dyDescent="0.25">
      <c r="A174" t="s">
        <v>7</v>
      </c>
      <c r="B174" t="s">
        <v>69</v>
      </c>
      <c r="C174" s="6">
        <v>1.14E-2</v>
      </c>
      <c r="D174" t="str">
        <f t="shared" si="2"/>
        <v>Mississippi|Taxi, motorcycle, or other</v>
      </c>
    </row>
    <row r="175" spans="1:4" x14ac:dyDescent="0.25">
      <c r="A175" t="s">
        <v>7</v>
      </c>
      <c r="B175" t="s">
        <v>68</v>
      </c>
      <c r="C175" s="6">
        <v>1.52E-2</v>
      </c>
      <c r="D175" t="str">
        <f t="shared" si="2"/>
        <v>Mississippi|Walked</v>
      </c>
    </row>
    <row r="176" spans="1:4" x14ac:dyDescent="0.25">
      <c r="A176" t="s">
        <v>7</v>
      </c>
      <c r="B176" t="s">
        <v>71</v>
      </c>
      <c r="C176" s="6">
        <v>6.3700000000000007E-2</v>
      </c>
      <c r="D176" t="str">
        <f t="shared" si="2"/>
        <v>Mississippi|Worked at home</v>
      </c>
    </row>
    <row r="177" spans="1:4" x14ac:dyDescent="0.25">
      <c r="A177" t="s">
        <v>22</v>
      </c>
      <c r="B177" t="s">
        <v>67</v>
      </c>
      <c r="C177" s="6">
        <v>2.5000000000000001E-3</v>
      </c>
      <c r="D177" t="str">
        <f t="shared" si="2"/>
        <v>Missouri|Bicycle</v>
      </c>
    </row>
    <row r="178" spans="1:4" x14ac:dyDescent="0.25">
      <c r="A178" t="s">
        <v>22</v>
      </c>
      <c r="B178" t="s">
        <v>72</v>
      </c>
      <c r="C178" s="6">
        <v>8.3799999999999999E-2</v>
      </c>
      <c r="D178" t="str">
        <f t="shared" si="2"/>
        <v>Missouri|Carpool</v>
      </c>
    </row>
    <row r="179" spans="1:4" x14ac:dyDescent="0.25">
      <c r="A179" t="s">
        <v>22</v>
      </c>
      <c r="B179" t="s">
        <v>73</v>
      </c>
      <c r="C179" s="6">
        <v>0.74990000000000001</v>
      </c>
      <c r="D179" t="str">
        <f t="shared" si="2"/>
        <v>Missouri|Drove alone</v>
      </c>
    </row>
    <row r="180" spans="1:4" x14ac:dyDescent="0.25">
      <c r="A180" t="s">
        <v>22</v>
      </c>
      <c r="B180" t="s">
        <v>70</v>
      </c>
      <c r="C180" s="6">
        <v>7.6E-3</v>
      </c>
      <c r="D180" t="str">
        <f t="shared" si="2"/>
        <v>Missouri|Public transportation</v>
      </c>
    </row>
    <row r="181" spans="1:4" x14ac:dyDescent="0.25">
      <c r="A181" t="s">
        <v>22</v>
      </c>
      <c r="B181" t="s">
        <v>69</v>
      </c>
      <c r="C181" s="6">
        <v>1.2500000000000001E-2</v>
      </c>
      <c r="D181" t="str">
        <f t="shared" si="2"/>
        <v>Missouri|Taxi, motorcycle, or other</v>
      </c>
    </row>
    <row r="182" spans="1:4" x14ac:dyDescent="0.25">
      <c r="A182" t="s">
        <v>22</v>
      </c>
      <c r="B182" t="s">
        <v>68</v>
      </c>
      <c r="C182" s="6">
        <v>1.83E-2</v>
      </c>
      <c r="D182" t="str">
        <f t="shared" si="2"/>
        <v>Missouri|Walked</v>
      </c>
    </row>
    <row r="183" spans="1:4" x14ac:dyDescent="0.25">
      <c r="A183" t="s">
        <v>22</v>
      </c>
      <c r="B183" t="s">
        <v>71</v>
      </c>
      <c r="C183" s="6">
        <v>0.12529999999999999</v>
      </c>
      <c r="D183" t="str">
        <f t="shared" si="2"/>
        <v>Missouri|Worked at home</v>
      </c>
    </row>
    <row r="184" spans="1:4" x14ac:dyDescent="0.25">
      <c r="A184" t="s">
        <v>26</v>
      </c>
      <c r="B184" t="s">
        <v>67</v>
      </c>
      <c r="C184" s="6">
        <v>8.0000000000000002E-3</v>
      </c>
      <c r="D184" t="str">
        <f t="shared" si="2"/>
        <v>Montana|Bicycle</v>
      </c>
    </row>
    <row r="185" spans="1:4" x14ac:dyDescent="0.25">
      <c r="A185" t="s">
        <v>26</v>
      </c>
      <c r="B185" t="s">
        <v>72</v>
      </c>
      <c r="C185" s="6">
        <v>9.3700000000000006E-2</v>
      </c>
      <c r="D185" t="str">
        <f t="shared" si="2"/>
        <v>Montana|Carpool</v>
      </c>
    </row>
    <row r="186" spans="1:4" x14ac:dyDescent="0.25">
      <c r="A186" t="s">
        <v>26</v>
      </c>
      <c r="B186" t="s">
        <v>73</v>
      </c>
      <c r="C186" s="6">
        <v>0.7248</v>
      </c>
      <c r="D186" t="str">
        <f t="shared" si="2"/>
        <v>Montana|Drove alone</v>
      </c>
    </row>
    <row r="187" spans="1:4" x14ac:dyDescent="0.25">
      <c r="A187" t="s">
        <v>26</v>
      </c>
      <c r="B187" t="s">
        <v>70</v>
      </c>
      <c r="C187" s="6">
        <v>5.5999999999999999E-3</v>
      </c>
      <c r="D187" t="str">
        <f t="shared" si="2"/>
        <v>Montana|Public transportation</v>
      </c>
    </row>
    <row r="188" spans="1:4" x14ac:dyDescent="0.25">
      <c r="A188" t="s">
        <v>26</v>
      </c>
      <c r="B188" t="s">
        <v>69</v>
      </c>
      <c r="C188" s="6">
        <v>1.2999999999999999E-2</v>
      </c>
      <c r="D188" t="str">
        <f t="shared" si="2"/>
        <v>Montana|Taxi, motorcycle, or other</v>
      </c>
    </row>
    <row r="189" spans="1:4" x14ac:dyDescent="0.25">
      <c r="A189" t="s">
        <v>26</v>
      </c>
      <c r="B189" t="s">
        <v>68</v>
      </c>
      <c r="C189" s="6">
        <v>4.1700000000000001E-2</v>
      </c>
      <c r="D189" t="str">
        <f t="shared" si="2"/>
        <v>Montana|Walked</v>
      </c>
    </row>
    <row r="190" spans="1:4" x14ac:dyDescent="0.25">
      <c r="A190" t="s">
        <v>26</v>
      </c>
      <c r="B190" t="s">
        <v>71</v>
      </c>
      <c r="C190" s="6">
        <v>0.1133</v>
      </c>
      <c r="D190" t="str">
        <f t="shared" si="2"/>
        <v>Montana|Worked at home</v>
      </c>
    </row>
    <row r="191" spans="1:4" x14ac:dyDescent="0.25">
      <c r="A191" t="s">
        <v>51</v>
      </c>
      <c r="B191" t="s">
        <v>67</v>
      </c>
      <c r="C191" s="6">
        <v>4.1000000000000003E-3</v>
      </c>
      <c r="D191" t="str">
        <f t="shared" si="2"/>
        <v>Nebraska|Bicycle</v>
      </c>
    </row>
    <row r="192" spans="1:4" x14ac:dyDescent="0.25">
      <c r="A192" t="s">
        <v>51</v>
      </c>
      <c r="B192" t="s">
        <v>72</v>
      </c>
      <c r="C192" s="6">
        <v>8.5900000000000004E-2</v>
      </c>
      <c r="D192" t="str">
        <f t="shared" si="2"/>
        <v>Nebraska|Carpool</v>
      </c>
    </row>
    <row r="193" spans="1:4" x14ac:dyDescent="0.25">
      <c r="A193" t="s">
        <v>51</v>
      </c>
      <c r="B193" t="s">
        <v>73</v>
      </c>
      <c r="C193" s="6">
        <v>0.76859999999999995</v>
      </c>
      <c r="D193" t="str">
        <f t="shared" si="2"/>
        <v>Nebraska|Drove alone</v>
      </c>
    </row>
    <row r="194" spans="1:4" x14ac:dyDescent="0.25">
      <c r="A194" t="s">
        <v>51</v>
      </c>
      <c r="B194" t="s">
        <v>70</v>
      </c>
      <c r="C194" s="6">
        <v>4.7000000000000002E-3</v>
      </c>
      <c r="D194" t="str">
        <f t="shared" ref="D194:D257" si="3">A194 &amp; "|" &amp; B194</f>
        <v>Nebraska|Public transportation</v>
      </c>
    </row>
    <row r="195" spans="1:4" x14ac:dyDescent="0.25">
      <c r="A195" t="s">
        <v>51</v>
      </c>
      <c r="B195" t="s">
        <v>69</v>
      </c>
      <c r="C195" s="6">
        <v>1.2200000000000001E-2</v>
      </c>
      <c r="D195" t="str">
        <f t="shared" si="3"/>
        <v>Nebraska|Taxi, motorcycle, or other</v>
      </c>
    </row>
    <row r="196" spans="1:4" x14ac:dyDescent="0.25">
      <c r="A196" t="s">
        <v>51</v>
      </c>
      <c r="B196" t="s">
        <v>68</v>
      </c>
      <c r="C196" s="6">
        <v>2.29E-2</v>
      </c>
      <c r="D196" t="str">
        <f t="shared" si="3"/>
        <v>Nebraska|Walked</v>
      </c>
    </row>
    <row r="197" spans="1:4" x14ac:dyDescent="0.25">
      <c r="A197" t="s">
        <v>51</v>
      </c>
      <c r="B197" t="s">
        <v>71</v>
      </c>
      <c r="C197" s="6">
        <v>0.10150000000000001</v>
      </c>
      <c r="D197" t="str">
        <f t="shared" si="3"/>
        <v>Nebraska|Worked at home</v>
      </c>
    </row>
    <row r="198" spans="1:4" x14ac:dyDescent="0.25">
      <c r="A198" t="s">
        <v>5</v>
      </c>
      <c r="B198" t="s">
        <v>67</v>
      </c>
      <c r="C198" s="6">
        <v>3.3999999999999998E-3</v>
      </c>
      <c r="D198" t="str">
        <f t="shared" si="3"/>
        <v>Nevada|Bicycle</v>
      </c>
    </row>
    <row r="199" spans="1:4" x14ac:dyDescent="0.25">
      <c r="A199" t="s">
        <v>5</v>
      </c>
      <c r="B199" t="s">
        <v>72</v>
      </c>
      <c r="C199" s="6">
        <v>0.1212</v>
      </c>
      <c r="D199" t="str">
        <f t="shared" si="3"/>
        <v>Nevada|Carpool</v>
      </c>
    </row>
    <row r="200" spans="1:4" x14ac:dyDescent="0.25">
      <c r="A200" t="s">
        <v>5</v>
      </c>
      <c r="B200" t="s">
        <v>73</v>
      </c>
      <c r="C200" s="6">
        <v>0.69769999999999999</v>
      </c>
      <c r="D200" t="str">
        <f t="shared" si="3"/>
        <v>Nevada|Drove alone</v>
      </c>
    </row>
    <row r="201" spans="1:4" x14ac:dyDescent="0.25">
      <c r="A201" t="s">
        <v>5</v>
      </c>
      <c r="B201" t="s">
        <v>70</v>
      </c>
      <c r="C201" s="6">
        <v>2.3099999999999999E-2</v>
      </c>
      <c r="D201" t="str">
        <f t="shared" si="3"/>
        <v>Nevada|Public transportation</v>
      </c>
    </row>
    <row r="202" spans="1:4" x14ac:dyDescent="0.25">
      <c r="A202" t="s">
        <v>5</v>
      </c>
      <c r="B202" t="s">
        <v>69</v>
      </c>
      <c r="C202" s="6">
        <v>2.3199999999999998E-2</v>
      </c>
      <c r="D202" t="str">
        <f t="shared" si="3"/>
        <v>Nevada|Taxi, motorcycle, or other</v>
      </c>
    </row>
    <row r="203" spans="1:4" x14ac:dyDescent="0.25">
      <c r="A203" t="s">
        <v>5</v>
      </c>
      <c r="B203" t="s">
        <v>68</v>
      </c>
      <c r="C203" s="6">
        <v>1.5900000000000001E-2</v>
      </c>
      <c r="D203" t="str">
        <f t="shared" si="3"/>
        <v>Nevada|Walked</v>
      </c>
    </row>
    <row r="204" spans="1:4" x14ac:dyDescent="0.25">
      <c r="A204" t="s">
        <v>5</v>
      </c>
      <c r="B204" t="s">
        <v>71</v>
      </c>
      <c r="C204" s="6">
        <v>0.11550000000000001</v>
      </c>
      <c r="D204" t="str">
        <f t="shared" si="3"/>
        <v>Nevada|Worked at home</v>
      </c>
    </row>
    <row r="205" spans="1:4" x14ac:dyDescent="0.25">
      <c r="A205" t="s">
        <v>43</v>
      </c>
      <c r="B205" t="s">
        <v>67</v>
      </c>
      <c r="C205" s="6">
        <v>2.3999999999999998E-3</v>
      </c>
      <c r="D205" t="str">
        <f t="shared" si="3"/>
        <v>New Hampshire|Bicycle</v>
      </c>
    </row>
    <row r="206" spans="1:4" x14ac:dyDescent="0.25">
      <c r="A206" t="s">
        <v>43</v>
      </c>
      <c r="B206" t="s">
        <v>72</v>
      </c>
      <c r="C206" s="6">
        <v>6.8500000000000005E-2</v>
      </c>
      <c r="D206" t="str">
        <f t="shared" si="3"/>
        <v>New Hampshire|Carpool</v>
      </c>
    </row>
    <row r="207" spans="1:4" x14ac:dyDescent="0.25">
      <c r="A207" t="s">
        <v>43</v>
      </c>
      <c r="B207" t="s">
        <v>73</v>
      </c>
      <c r="C207" s="6">
        <v>0.7208</v>
      </c>
      <c r="D207" t="str">
        <f t="shared" si="3"/>
        <v>New Hampshire|Drove alone</v>
      </c>
    </row>
    <row r="208" spans="1:4" x14ac:dyDescent="0.25">
      <c r="A208" t="s">
        <v>43</v>
      </c>
      <c r="B208" t="s">
        <v>70</v>
      </c>
      <c r="C208" s="6">
        <v>6.6E-3</v>
      </c>
      <c r="D208" t="str">
        <f t="shared" si="3"/>
        <v>New Hampshire|Public transportation</v>
      </c>
    </row>
    <row r="209" spans="1:4" x14ac:dyDescent="0.25">
      <c r="A209" t="s">
        <v>43</v>
      </c>
      <c r="B209" t="s">
        <v>69</v>
      </c>
      <c r="C209" s="6">
        <v>1.4800000000000001E-2</v>
      </c>
      <c r="D209" t="str">
        <f t="shared" si="3"/>
        <v>New Hampshire|Taxi, motorcycle, or other</v>
      </c>
    </row>
    <row r="210" spans="1:4" x14ac:dyDescent="0.25">
      <c r="A210" t="s">
        <v>43</v>
      </c>
      <c r="B210" t="s">
        <v>68</v>
      </c>
      <c r="C210" s="6">
        <v>2.5600000000000001E-2</v>
      </c>
      <c r="D210" t="str">
        <f t="shared" si="3"/>
        <v>New Hampshire|Walked</v>
      </c>
    </row>
    <row r="211" spans="1:4" x14ac:dyDescent="0.25">
      <c r="A211" t="s">
        <v>43</v>
      </c>
      <c r="B211" t="s">
        <v>71</v>
      </c>
      <c r="C211" s="6">
        <v>0.16139999999999999</v>
      </c>
      <c r="D211" t="str">
        <f t="shared" si="3"/>
        <v>New Hampshire|Worked at home</v>
      </c>
    </row>
    <row r="212" spans="1:4" x14ac:dyDescent="0.25">
      <c r="A212" t="s">
        <v>25</v>
      </c>
      <c r="B212" t="s">
        <v>67</v>
      </c>
      <c r="C212" s="6">
        <v>3.5000000000000001E-3</v>
      </c>
      <c r="D212" t="str">
        <f t="shared" si="3"/>
        <v>New Jersey|Bicycle</v>
      </c>
    </row>
    <row r="213" spans="1:4" x14ac:dyDescent="0.25">
      <c r="A213" t="s">
        <v>25</v>
      </c>
      <c r="B213" t="s">
        <v>72</v>
      </c>
      <c r="C213" s="6">
        <v>8.0199999999999994E-2</v>
      </c>
      <c r="D213" t="str">
        <f t="shared" si="3"/>
        <v>New Jersey|Carpool</v>
      </c>
    </row>
    <row r="214" spans="1:4" x14ac:dyDescent="0.25">
      <c r="A214" t="s">
        <v>25</v>
      </c>
      <c r="B214" t="s">
        <v>73</v>
      </c>
      <c r="C214" s="6">
        <v>0.63300000000000001</v>
      </c>
      <c r="D214" t="str">
        <f t="shared" si="3"/>
        <v>New Jersey|Drove alone</v>
      </c>
    </row>
    <row r="215" spans="1:4" x14ac:dyDescent="0.25">
      <c r="A215" t="s">
        <v>25</v>
      </c>
      <c r="B215" t="s">
        <v>70</v>
      </c>
      <c r="C215" s="6">
        <v>9.6000000000000002E-2</v>
      </c>
      <c r="D215" t="str">
        <f t="shared" si="3"/>
        <v>New Jersey|Public transportation</v>
      </c>
    </row>
    <row r="216" spans="1:4" x14ac:dyDescent="0.25">
      <c r="A216" t="s">
        <v>25</v>
      </c>
      <c r="B216" t="s">
        <v>69</v>
      </c>
      <c r="C216" s="6">
        <v>2.2100000000000002E-2</v>
      </c>
      <c r="D216" t="str">
        <f t="shared" si="3"/>
        <v>New Jersey|Taxi, motorcycle, or other</v>
      </c>
    </row>
    <row r="217" spans="1:4" x14ac:dyDescent="0.25">
      <c r="A217" t="s">
        <v>25</v>
      </c>
      <c r="B217" t="s">
        <v>68</v>
      </c>
      <c r="C217" s="6">
        <v>2.5000000000000001E-2</v>
      </c>
      <c r="D217" t="str">
        <f t="shared" si="3"/>
        <v>New Jersey|Walked</v>
      </c>
    </row>
    <row r="218" spans="1:4" x14ac:dyDescent="0.25">
      <c r="A218" t="s">
        <v>25</v>
      </c>
      <c r="B218" t="s">
        <v>71</v>
      </c>
      <c r="C218" s="6">
        <v>0.14019999999999999</v>
      </c>
      <c r="D218" t="str">
        <f t="shared" si="3"/>
        <v>New Jersey|Worked at home</v>
      </c>
    </row>
    <row r="219" spans="1:4" x14ac:dyDescent="0.25">
      <c r="A219" t="s">
        <v>1</v>
      </c>
      <c r="B219" t="s">
        <v>67</v>
      </c>
      <c r="C219" s="6">
        <v>6.3E-3</v>
      </c>
      <c r="D219" t="str">
        <f t="shared" si="3"/>
        <v>New Mexico|Bicycle</v>
      </c>
    </row>
    <row r="220" spans="1:4" x14ac:dyDescent="0.25">
      <c r="A220" t="s">
        <v>1</v>
      </c>
      <c r="B220" t="s">
        <v>72</v>
      </c>
      <c r="C220" s="6">
        <v>0.10050000000000001</v>
      </c>
      <c r="D220" t="str">
        <f t="shared" si="3"/>
        <v>New Mexico|Carpool</v>
      </c>
    </row>
    <row r="221" spans="1:4" x14ac:dyDescent="0.25">
      <c r="A221" t="s">
        <v>1</v>
      </c>
      <c r="B221" t="s">
        <v>73</v>
      </c>
      <c r="C221" s="6">
        <v>0.74829999999999997</v>
      </c>
      <c r="D221" t="str">
        <f t="shared" si="3"/>
        <v>New Mexico|Drove alone</v>
      </c>
    </row>
    <row r="222" spans="1:4" x14ac:dyDescent="0.25">
      <c r="A222" t="s">
        <v>1</v>
      </c>
      <c r="B222" t="s">
        <v>70</v>
      </c>
      <c r="C222" s="6">
        <v>7.0000000000000001E-3</v>
      </c>
      <c r="D222" t="str">
        <f t="shared" si="3"/>
        <v>New Mexico|Public transportation</v>
      </c>
    </row>
    <row r="223" spans="1:4" x14ac:dyDescent="0.25">
      <c r="A223" t="s">
        <v>1</v>
      </c>
      <c r="B223" t="s">
        <v>69</v>
      </c>
      <c r="C223" s="6">
        <v>1.3299999999999999E-2</v>
      </c>
      <c r="D223" t="str">
        <f t="shared" si="3"/>
        <v>New Mexico|Taxi, motorcycle, or other</v>
      </c>
    </row>
    <row r="224" spans="1:4" x14ac:dyDescent="0.25">
      <c r="A224" t="s">
        <v>1</v>
      </c>
      <c r="B224" t="s">
        <v>68</v>
      </c>
      <c r="C224" s="6">
        <v>1.7899999999999999E-2</v>
      </c>
      <c r="D224" t="str">
        <f t="shared" si="3"/>
        <v>New Mexico|Walked</v>
      </c>
    </row>
    <row r="225" spans="1:4" x14ac:dyDescent="0.25">
      <c r="A225" t="s">
        <v>1</v>
      </c>
      <c r="B225" t="s">
        <v>71</v>
      </c>
      <c r="C225" s="6">
        <v>0.10680000000000001</v>
      </c>
      <c r="D225" t="str">
        <f t="shared" si="3"/>
        <v>New Mexico|Worked at home</v>
      </c>
    </row>
    <row r="226" spans="1:4" x14ac:dyDescent="0.25">
      <c r="A226" t="s">
        <v>34</v>
      </c>
      <c r="B226" t="s">
        <v>67</v>
      </c>
      <c r="C226" s="6">
        <v>8.6999999999999994E-3</v>
      </c>
      <c r="D226" t="str">
        <f t="shared" si="3"/>
        <v>New York|Bicycle</v>
      </c>
    </row>
    <row r="227" spans="1:4" x14ac:dyDescent="0.25">
      <c r="A227" t="s">
        <v>34</v>
      </c>
      <c r="B227" t="s">
        <v>72</v>
      </c>
      <c r="C227" s="6">
        <v>6.4100000000000004E-2</v>
      </c>
      <c r="D227" t="str">
        <f t="shared" si="3"/>
        <v>New York|Carpool</v>
      </c>
    </row>
    <row r="228" spans="1:4" x14ac:dyDescent="0.25">
      <c r="A228" t="s">
        <v>34</v>
      </c>
      <c r="B228" t="s">
        <v>73</v>
      </c>
      <c r="C228" s="6">
        <v>0.49099999999999999</v>
      </c>
      <c r="D228" t="str">
        <f t="shared" si="3"/>
        <v>New York|Drove alone</v>
      </c>
    </row>
    <row r="229" spans="1:4" x14ac:dyDescent="0.25">
      <c r="A229" t="s">
        <v>34</v>
      </c>
      <c r="B229" t="s">
        <v>70</v>
      </c>
      <c r="C229" s="6">
        <v>0.23519999999999999</v>
      </c>
      <c r="D229" t="str">
        <f t="shared" si="3"/>
        <v>New York|Public transportation</v>
      </c>
    </row>
    <row r="230" spans="1:4" x14ac:dyDescent="0.25">
      <c r="A230" t="s">
        <v>34</v>
      </c>
      <c r="B230" t="s">
        <v>69</v>
      </c>
      <c r="C230" s="6">
        <v>1.8800000000000001E-2</v>
      </c>
      <c r="D230" t="str">
        <f t="shared" si="3"/>
        <v>New York|Taxi, motorcycle, or other</v>
      </c>
    </row>
    <row r="231" spans="1:4" x14ac:dyDescent="0.25">
      <c r="A231" t="s">
        <v>34</v>
      </c>
      <c r="B231" t="s">
        <v>68</v>
      </c>
      <c r="C231" s="6">
        <v>5.8000000000000003E-2</v>
      </c>
      <c r="D231" t="str">
        <f t="shared" si="3"/>
        <v>New York|Walked</v>
      </c>
    </row>
    <row r="232" spans="1:4" x14ac:dyDescent="0.25">
      <c r="A232" t="s">
        <v>34</v>
      </c>
      <c r="B232" t="s">
        <v>71</v>
      </c>
      <c r="C232" s="6">
        <v>0.1242</v>
      </c>
      <c r="D232" t="str">
        <f t="shared" si="3"/>
        <v>New York|Worked at home</v>
      </c>
    </row>
    <row r="233" spans="1:4" x14ac:dyDescent="0.25">
      <c r="A233" t="s">
        <v>20</v>
      </c>
      <c r="B233" t="s">
        <v>67</v>
      </c>
      <c r="C233" s="6">
        <v>2.3E-3</v>
      </c>
      <c r="D233" t="str">
        <f t="shared" si="3"/>
        <v>North Carolina|Bicycle</v>
      </c>
    </row>
    <row r="234" spans="1:4" x14ac:dyDescent="0.25">
      <c r="A234" t="s">
        <v>20</v>
      </c>
      <c r="B234" t="s">
        <v>72</v>
      </c>
      <c r="C234" s="6">
        <v>8.5400000000000004E-2</v>
      </c>
      <c r="D234" t="str">
        <f t="shared" si="3"/>
        <v>North Carolina|Carpool</v>
      </c>
    </row>
    <row r="235" spans="1:4" x14ac:dyDescent="0.25">
      <c r="A235" t="s">
        <v>20</v>
      </c>
      <c r="B235" t="s">
        <v>73</v>
      </c>
      <c r="C235" s="6">
        <v>0.71299999999999997</v>
      </c>
      <c r="D235" t="str">
        <f t="shared" si="3"/>
        <v>North Carolina|Drove alone</v>
      </c>
    </row>
    <row r="236" spans="1:4" x14ac:dyDescent="0.25">
      <c r="A236" t="s">
        <v>20</v>
      </c>
      <c r="B236" t="s">
        <v>70</v>
      </c>
      <c r="C236" s="6">
        <v>6.4000000000000003E-3</v>
      </c>
      <c r="D236" t="str">
        <f t="shared" si="3"/>
        <v>North Carolina|Public transportation</v>
      </c>
    </row>
    <row r="237" spans="1:4" x14ac:dyDescent="0.25">
      <c r="A237" t="s">
        <v>20</v>
      </c>
      <c r="B237" t="s">
        <v>69</v>
      </c>
      <c r="C237" s="6">
        <v>1.41E-2</v>
      </c>
      <c r="D237" t="str">
        <f t="shared" si="3"/>
        <v>North Carolina|Taxi, motorcycle, or other</v>
      </c>
    </row>
    <row r="238" spans="1:4" x14ac:dyDescent="0.25">
      <c r="A238" t="s">
        <v>20</v>
      </c>
      <c r="B238" t="s">
        <v>68</v>
      </c>
      <c r="C238" s="6">
        <v>1.7500000000000002E-2</v>
      </c>
      <c r="D238" t="str">
        <f t="shared" si="3"/>
        <v>North Carolina|Walked</v>
      </c>
    </row>
    <row r="239" spans="1:4" x14ac:dyDescent="0.25">
      <c r="A239" t="s">
        <v>20</v>
      </c>
      <c r="B239" t="s">
        <v>71</v>
      </c>
      <c r="C239" s="6">
        <v>0.1613</v>
      </c>
      <c r="D239" t="str">
        <f t="shared" si="3"/>
        <v>North Carolina|Worked at home</v>
      </c>
    </row>
    <row r="240" spans="1:4" x14ac:dyDescent="0.25">
      <c r="A240" t="s">
        <v>40</v>
      </c>
      <c r="B240" t="s">
        <v>67</v>
      </c>
      <c r="C240" s="6">
        <v>2.0999999999999999E-3</v>
      </c>
      <c r="D240" t="str">
        <f t="shared" si="3"/>
        <v>North Dakota|Bicycle</v>
      </c>
    </row>
    <row r="241" spans="1:4" x14ac:dyDescent="0.25">
      <c r="A241" t="s">
        <v>40</v>
      </c>
      <c r="B241" t="s">
        <v>72</v>
      </c>
      <c r="C241" s="6">
        <v>0.1009</v>
      </c>
      <c r="D241" t="str">
        <f t="shared" si="3"/>
        <v>North Dakota|Carpool</v>
      </c>
    </row>
    <row r="242" spans="1:4" x14ac:dyDescent="0.25">
      <c r="A242" t="s">
        <v>40</v>
      </c>
      <c r="B242" t="s">
        <v>73</v>
      </c>
      <c r="C242" s="6">
        <v>0.76659999999999995</v>
      </c>
      <c r="D242" t="str">
        <f t="shared" si="3"/>
        <v>North Dakota|Drove alone</v>
      </c>
    </row>
    <row r="243" spans="1:4" x14ac:dyDescent="0.25">
      <c r="A243" t="s">
        <v>40</v>
      </c>
      <c r="B243" t="s">
        <v>70</v>
      </c>
      <c r="C243" s="6">
        <v>1.6000000000000001E-3</v>
      </c>
      <c r="D243" t="str">
        <f t="shared" si="3"/>
        <v>North Dakota|Public transportation</v>
      </c>
    </row>
    <row r="244" spans="1:4" x14ac:dyDescent="0.25">
      <c r="A244" t="s">
        <v>40</v>
      </c>
      <c r="B244" t="s">
        <v>69</v>
      </c>
      <c r="C244" s="6">
        <v>1.54E-2</v>
      </c>
      <c r="D244" t="str">
        <f t="shared" si="3"/>
        <v>North Dakota|Taxi, motorcycle, or other</v>
      </c>
    </row>
    <row r="245" spans="1:4" x14ac:dyDescent="0.25">
      <c r="A245" t="s">
        <v>40</v>
      </c>
      <c r="B245" t="s">
        <v>68</v>
      </c>
      <c r="C245" s="6">
        <v>3.0800000000000001E-2</v>
      </c>
      <c r="D245" t="str">
        <f t="shared" si="3"/>
        <v>North Dakota|Walked</v>
      </c>
    </row>
    <row r="246" spans="1:4" x14ac:dyDescent="0.25">
      <c r="A246" t="s">
        <v>40</v>
      </c>
      <c r="B246" t="s">
        <v>71</v>
      </c>
      <c r="C246" s="6">
        <v>8.2600000000000007E-2</v>
      </c>
      <c r="D246" t="str">
        <f t="shared" si="3"/>
        <v>North Dakota|Worked at home</v>
      </c>
    </row>
    <row r="247" spans="1:4" x14ac:dyDescent="0.25">
      <c r="A247" t="s">
        <v>41</v>
      </c>
      <c r="B247" t="s">
        <v>67</v>
      </c>
      <c r="C247" s="6">
        <v>3.0000000000000001E-3</v>
      </c>
      <c r="D247" t="str">
        <f t="shared" si="3"/>
        <v>Ohio|Bicycle</v>
      </c>
    </row>
    <row r="248" spans="1:4" x14ac:dyDescent="0.25">
      <c r="A248" t="s">
        <v>41</v>
      </c>
      <c r="B248" t="s">
        <v>72</v>
      </c>
      <c r="C248" s="6">
        <v>8.09E-2</v>
      </c>
      <c r="D248" t="str">
        <f t="shared" si="3"/>
        <v>Ohio|Carpool</v>
      </c>
    </row>
    <row r="249" spans="1:4" x14ac:dyDescent="0.25">
      <c r="A249" t="s">
        <v>41</v>
      </c>
      <c r="B249" t="s">
        <v>73</v>
      </c>
      <c r="C249" s="6">
        <v>0.75439999999999996</v>
      </c>
      <c r="D249" t="str">
        <f t="shared" si="3"/>
        <v>Ohio|Drove alone</v>
      </c>
    </row>
    <row r="250" spans="1:4" x14ac:dyDescent="0.25">
      <c r="A250" t="s">
        <v>41</v>
      </c>
      <c r="B250" t="s">
        <v>70</v>
      </c>
      <c r="C250" s="6">
        <v>1.12E-2</v>
      </c>
      <c r="D250" t="str">
        <f t="shared" si="3"/>
        <v>Ohio|Public transportation</v>
      </c>
    </row>
    <row r="251" spans="1:4" x14ac:dyDescent="0.25">
      <c r="A251" t="s">
        <v>41</v>
      </c>
      <c r="B251" t="s">
        <v>69</v>
      </c>
      <c r="C251" s="6">
        <v>1.15E-2</v>
      </c>
      <c r="D251" t="str">
        <f t="shared" si="3"/>
        <v>Ohio|Taxi, motorcycle, or other</v>
      </c>
    </row>
    <row r="252" spans="1:4" x14ac:dyDescent="0.25">
      <c r="A252" t="s">
        <v>41</v>
      </c>
      <c r="B252" t="s">
        <v>68</v>
      </c>
      <c r="C252" s="6">
        <v>2.01E-2</v>
      </c>
      <c r="D252" t="str">
        <f t="shared" si="3"/>
        <v>Ohio|Walked</v>
      </c>
    </row>
    <row r="253" spans="1:4" x14ac:dyDescent="0.25">
      <c r="A253" t="s">
        <v>41</v>
      </c>
      <c r="B253" t="s">
        <v>71</v>
      </c>
      <c r="C253" s="6">
        <v>0.1188</v>
      </c>
      <c r="D253" t="str">
        <f t="shared" si="3"/>
        <v>Ohio|Worked at home</v>
      </c>
    </row>
    <row r="254" spans="1:4" x14ac:dyDescent="0.25">
      <c r="A254" t="s">
        <v>18</v>
      </c>
      <c r="B254" t="s">
        <v>67</v>
      </c>
      <c r="C254" s="6">
        <v>2.2000000000000001E-3</v>
      </c>
      <c r="D254" t="str">
        <f t="shared" si="3"/>
        <v>Oklahoma|Bicycle</v>
      </c>
    </row>
    <row r="255" spans="1:4" x14ac:dyDescent="0.25">
      <c r="A255" t="s">
        <v>18</v>
      </c>
      <c r="B255" t="s">
        <v>72</v>
      </c>
      <c r="C255" s="6">
        <v>9.9500000000000005E-2</v>
      </c>
      <c r="D255" t="str">
        <f t="shared" si="3"/>
        <v>Oklahoma|Carpool</v>
      </c>
    </row>
    <row r="256" spans="1:4" x14ac:dyDescent="0.25">
      <c r="A256" t="s">
        <v>18</v>
      </c>
      <c r="B256" t="s">
        <v>73</v>
      </c>
      <c r="C256" s="6">
        <v>0.77359999999999995</v>
      </c>
      <c r="D256" t="str">
        <f t="shared" si="3"/>
        <v>Oklahoma|Drove alone</v>
      </c>
    </row>
    <row r="257" spans="1:4" x14ac:dyDescent="0.25">
      <c r="A257" t="s">
        <v>18</v>
      </c>
      <c r="B257" t="s">
        <v>70</v>
      </c>
      <c r="C257" s="6">
        <v>2.8E-3</v>
      </c>
      <c r="D257" t="str">
        <f t="shared" si="3"/>
        <v>Oklahoma|Public transportation</v>
      </c>
    </row>
    <row r="258" spans="1:4" x14ac:dyDescent="0.25">
      <c r="A258" t="s">
        <v>18</v>
      </c>
      <c r="B258" t="s">
        <v>69</v>
      </c>
      <c r="C258" s="6">
        <v>1.2800000000000001E-2</v>
      </c>
      <c r="D258" t="str">
        <f t="shared" ref="D258:D321" si="4">A258 &amp; "|" &amp; B258</f>
        <v>Oklahoma|Taxi, motorcycle, or other</v>
      </c>
    </row>
    <row r="259" spans="1:4" x14ac:dyDescent="0.25">
      <c r="A259" t="s">
        <v>18</v>
      </c>
      <c r="B259" t="s">
        <v>68</v>
      </c>
      <c r="C259" s="6">
        <v>1.8100000000000002E-2</v>
      </c>
      <c r="D259" t="str">
        <f t="shared" si="4"/>
        <v>Oklahoma|Walked</v>
      </c>
    </row>
    <row r="260" spans="1:4" x14ac:dyDescent="0.25">
      <c r="A260" t="s">
        <v>18</v>
      </c>
      <c r="B260" t="s">
        <v>71</v>
      </c>
      <c r="C260" s="6">
        <v>9.0999999999999998E-2</v>
      </c>
      <c r="D260" t="str">
        <f t="shared" si="4"/>
        <v>Oklahoma|Worked at home</v>
      </c>
    </row>
    <row r="261" spans="1:4" x14ac:dyDescent="0.25">
      <c r="A261" t="s">
        <v>17</v>
      </c>
      <c r="B261" t="s">
        <v>67</v>
      </c>
      <c r="C261" s="6">
        <v>1.32E-2</v>
      </c>
      <c r="D261" t="str">
        <f t="shared" si="4"/>
        <v>Oregon|Bicycle</v>
      </c>
    </row>
    <row r="262" spans="1:4" x14ac:dyDescent="0.25">
      <c r="A262" t="s">
        <v>17</v>
      </c>
      <c r="B262" t="s">
        <v>72</v>
      </c>
      <c r="C262" s="6">
        <v>9.35E-2</v>
      </c>
      <c r="D262" t="str">
        <f t="shared" si="4"/>
        <v>Oregon|Carpool</v>
      </c>
    </row>
    <row r="263" spans="1:4" x14ac:dyDescent="0.25">
      <c r="A263" t="s">
        <v>17</v>
      </c>
      <c r="B263" t="s">
        <v>73</v>
      </c>
      <c r="C263" s="6">
        <v>0.64590000000000003</v>
      </c>
      <c r="D263" t="str">
        <f t="shared" si="4"/>
        <v>Oregon|Drove alone</v>
      </c>
    </row>
    <row r="264" spans="1:4" x14ac:dyDescent="0.25">
      <c r="A264" t="s">
        <v>17</v>
      </c>
      <c r="B264" t="s">
        <v>70</v>
      </c>
      <c r="C264" s="6">
        <v>2.24E-2</v>
      </c>
      <c r="D264" t="str">
        <f t="shared" si="4"/>
        <v>Oregon|Public transportation</v>
      </c>
    </row>
    <row r="265" spans="1:4" x14ac:dyDescent="0.25">
      <c r="A265" t="s">
        <v>17</v>
      </c>
      <c r="B265" t="s">
        <v>69</v>
      </c>
      <c r="C265" s="6">
        <v>1.41E-2</v>
      </c>
      <c r="D265" t="str">
        <f t="shared" si="4"/>
        <v>Oregon|Taxi, motorcycle, or other</v>
      </c>
    </row>
    <row r="266" spans="1:4" x14ac:dyDescent="0.25">
      <c r="A266" t="s">
        <v>17</v>
      </c>
      <c r="B266" t="s">
        <v>68</v>
      </c>
      <c r="C266" s="6">
        <v>3.4299999999999997E-2</v>
      </c>
      <c r="D266" t="str">
        <f t="shared" si="4"/>
        <v>Oregon|Walked</v>
      </c>
    </row>
    <row r="267" spans="1:4" x14ac:dyDescent="0.25">
      <c r="A267" t="s">
        <v>17</v>
      </c>
      <c r="B267" t="s">
        <v>71</v>
      </c>
      <c r="C267" s="6">
        <v>0.17660000000000001</v>
      </c>
      <c r="D267" t="str">
        <f t="shared" si="4"/>
        <v>Oregon|Worked at home</v>
      </c>
    </row>
    <row r="268" spans="1:4" x14ac:dyDescent="0.25">
      <c r="A268" t="s">
        <v>35</v>
      </c>
      <c r="B268" t="s">
        <v>67</v>
      </c>
      <c r="C268" s="6">
        <v>4.7999999999999996E-3</v>
      </c>
      <c r="D268" t="str">
        <f t="shared" si="4"/>
        <v>Pennsylvania|Bicycle</v>
      </c>
    </row>
    <row r="269" spans="1:4" x14ac:dyDescent="0.25">
      <c r="A269" t="s">
        <v>35</v>
      </c>
      <c r="B269" t="s">
        <v>72</v>
      </c>
      <c r="C269" s="6">
        <v>8.2400000000000001E-2</v>
      </c>
      <c r="D269" t="str">
        <f t="shared" si="4"/>
        <v>Pennsylvania|Carpool</v>
      </c>
    </row>
    <row r="270" spans="1:4" x14ac:dyDescent="0.25">
      <c r="A270" t="s">
        <v>35</v>
      </c>
      <c r="B270" t="s">
        <v>73</v>
      </c>
      <c r="C270" s="6">
        <v>0.68489999999999995</v>
      </c>
      <c r="D270" t="str">
        <f t="shared" si="4"/>
        <v>Pennsylvania|Drove alone</v>
      </c>
    </row>
    <row r="271" spans="1:4" x14ac:dyDescent="0.25">
      <c r="A271" t="s">
        <v>35</v>
      </c>
      <c r="B271" t="s">
        <v>70</v>
      </c>
      <c r="C271" s="6">
        <v>3.8199999999999998E-2</v>
      </c>
      <c r="D271" t="str">
        <f t="shared" si="4"/>
        <v>Pennsylvania|Public transportation</v>
      </c>
    </row>
    <row r="272" spans="1:4" x14ac:dyDescent="0.25">
      <c r="A272" t="s">
        <v>35</v>
      </c>
      <c r="B272" t="s">
        <v>69</v>
      </c>
      <c r="C272" s="6">
        <v>1.3599999999999999E-2</v>
      </c>
      <c r="D272" t="str">
        <f t="shared" si="4"/>
        <v>Pennsylvania|Taxi, motorcycle, or other</v>
      </c>
    </row>
    <row r="273" spans="1:4" x14ac:dyDescent="0.25">
      <c r="A273" t="s">
        <v>35</v>
      </c>
      <c r="B273" t="s">
        <v>68</v>
      </c>
      <c r="C273" s="6">
        <v>3.4799999999999998E-2</v>
      </c>
      <c r="D273" t="str">
        <f t="shared" si="4"/>
        <v>Pennsylvania|Walked</v>
      </c>
    </row>
    <row r="274" spans="1:4" x14ac:dyDescent="0.25">
      <c r="A274" t="s">
        <v>35</v>
      </c>
      <c r="B274" t="s">
        <v>71</v>
      </c>
      <c r="C274" s="6">
        <v>0.14130000000000001</v>
      </c>
      <c r="D274" t="str">
        <f t="shared" si="4"/>
        <v>Pennsylvania|Worked at home</v>
      </c>
    </row>
    <row r="275" spans="1:4" x14ac:dyDescent="0.25">
      <c r="A275" t="s">
        <v>44</v>
      </c>
      <c r="B275" t="s">
        <v>67</v>
      </c>
      <c r="C275" s="6">
        <v>2.2000000000000001E-3</v>
      </c>
      <c r="D275" t="str">
        <f t="shared" si="4"/>
        <v>Rhode Island|Bicycle</v>
      </c>
    </row>
    <row r="276" spans="1:4" x14ac:dyDescent="0.25">
      <c r="A276" t="s">
        <v>44</v>
      </c>
      <c r="B276" t="s">
        <v>72</v>
      </c>
      <c r="C276" s="6">
        <v>7.5999999999999998E-2</v>
      </c>
      <c r="D276" t="str">
        <f t="shared" si="4"/>
        <v>Rhode Island|Carpool</v>
      </c>
    </row>
    <row r="277" spans="1:4" x14ac:dyDescent="0.25">
      <c r="A277" t="s">
        <v>44</v>
      </c>
      <c r="B277" t="s">
        <v>73</v>
      </c>
      <c r="C277" s="6">
        <v>0.72960000000000003</v>
      </c>
      <c r="D277" t="str">
        <f t="shared" si="4"/>
        <v>Rhode Island|Drove alone</v>
      </c>
    </row>
    <row r="278" spans="1:4" x14ac:dyDescent="0.25">
      <c r="A278" t="s">
        <v>44</v>
      </c>
      <c r="B278" t="s">
        <v>70</v>
      </c>
      <c r="C278" s="6">
        <v>1.8800000000000001E-2</v>
      </c>
      <c r="D278" t="str">
        <f t="shared" si="4"/>
        <v>Rhode Island|Public transportation</v>
      </c>
    </row>
    <row r="279" spans="1:4" x14ac:dyDescent="0.25">
      <c r="A279" t="s">
        <v>44</v>
      </c>
      <c r="B279" t="s">
        <v>69</v>
      </c>
      <c r="C279" s="6">
        <v>2.4799999999999999E-2</v>
      </c>
      <c r="D279" t="str">
        <f t="shared" si="4"/>
        <v>Rhode Island|Taxi, motorcycle, or other</v>
      </c>
    </row>
    <row r="280" spans="1:4" x14ac:dyDescent="0.25">
      <c r="A280" t="s">
        <v>44</v>
      </c>
      <c r="B280" t="s">
        <v>68</v>
      </c>
      <c r="C280" s="6">
        <v>3.04E-2</v>
      </c>
      <c r="D280" t="str">
        <f t="shared" si="4"/>
        <v>Rhode Island|Walked</v>
      </c>
    </row>
    <row r="281" spans="1:4" x14ac:dyDescent="0.25">
      <c r="A281" t="s">
        <v>44</v>
      </c>
      <c r="B281" t="s">
        <v>71</v>
      </c>
      <c r="C281" s="6">
        <v>0.1182</v>
      </c>
      <c r="D281" t="str">
        <f t="shared" si="4"/>
        <v>Rhode Island|Worked at home</v>
      </c>
    </row>
    <row r="282" spans="1:4" x14ac:dyDescent="0.25">
      <c r="A282" t="s">
        <v>3</v>
      </c>
      <c r="B282" t="s">
        <v>67</v>
      </c>
      <c r="C282" s="6">
        <v>1.4E-3</v>
      </c>
      <c r="D282" t="str">
        <f t="shared" si="4"/>
        <v>South Carolina|Bicycle</v>
      </c>
    </row>
    <row r="283" spans="1:4" x14ac:dyDescent="0.25">
      <c r="A283" t="s">
        <v>3</v>
      </c>
      <c r="B283" t="s">
        <v>72</v>
      </c>
      <c r="C283" s="6">
        <v>8.6900000000000005E-2</v>
      </c>
      <c r="D283" t="str">
        <f t="shared" si="4"/>
        <v>South Carolina|Carpool</v>
      </c>
    </row>
    <row r="284" spans="1:4" x14ac:dyDescent="0.25">
      <c r="A284" t="s">
        <v>3</v>
      </c>
      <c r="B284" t="s">
        <v>73</v>
      </c>
      <c r="C284" s="6">
        <v>0.76080000000000003</v>
      </c>
      <c r="D284" t="str">
        <f t="shared" si="4"/>
        <v>South Carolina|Drove alone</v>
      </c>
    </row>
    <row r="285" spans="1:4" x14ac:dyDescent="0.25">
      <c r="A285" t="s">
        <v>3</v>
      </c>
      <c r="B285" t="s">
        <v>70</v>
      </c>
      <c r="C285" s="6">
        <v>3.5999999999999999E-3</v>
      </c>
      <c r="D285" t="str">
        <f t="shared" si="4"/>
        <v>South Carolina|Public transportation</v>
      </c>
    </row>
    <row r="286" spans="1:4" x14ac:dyDescent="0.25">
      <c r="A286" t="s">
        <v>3</v>
      </c>
      <c r="B286" t="s">
        <v>69</v>
      </c>
      <c r="C286" s="6">
        <v>1.38E-2</v>
      </c>
      <c r="D286" t="str">
        <f t="shared" si="4"/>
        <v>South Carolina|Taxi, motorcycle, or other</v>
      </c>
    </row>
    <row r="287" spans="1:4" x14ac:dyDescent="0.25">
      <c r="A287" t="s">
        <v>3</v>
      </c>
      <c r="B287" t="s">
        <v>68</v>
      </c>
      <c r="C287" s="6">
        <v>1.52E-2</v>
      </c>
      <c r="D287" t="str">
        <f t="shared" si="4"/>
        <v>South Carolina|Walked</v>
      </c>
    </row>
    <row r="288" spans="1:4" x14ac:dyDescent="0.25">
      <c r="A288" t="s">
        <v>3</v>
      </c>
      <c r="B288" t="s">
        <v>71</v>
      </c>
      <c r="C288" s="6">
        <v>0.1182</v>
      </c>
      <c r="D288" t="str">
        <f t="shared" si="4"/>
        <v>South Carolina|Worked at home</v>
      </c>
    </row>
    <row r="289" spans="1:4" x14ac:dyDescent="0.25">
      <c r="A289" t="s">
        <v>29</v>
      </c>
      <c r="B289" t="s">
        <v>67</v>
      </c>
      <c r="C289" s="6">
        <v>2.7000000000000001E-3</v>
      </c>
      <c r="D289" t="str">
        <f t="shared" si="4"/>
        <v>South Dakota|Bicycle</v>
      </c>
    </row>
    <row r="290" spans="1:4" x14ac:dyDescent="0.25">
      <c r="A290" t="s">
        <v>29</v>
      </c>
      <c r="B290" t="s">
        <v>72</v>
      </c>
      <c r="C290" s="6">
        <v>9.0700000000000003E-2</v>
      </c>
      <c r="D290" t="str">
        <f t="shared" si="4"/>
        <v>South Dakota|Carpool</v>
      </c>
    </row>
    <row r="291" spans="1:4" x14ac:dyDescent="0.25">
      <c r="A291" t="s">
        <v>29</v>
      </c>
      <c r="B291" t="s">
        <v>73</v>
      </c>
      <c r="C291" s="6">
        <v>0.7601</v>
      </c>
      <c r="D291" t="str">
        <f t="shared" si="4"/>
        <v>South Dakota|Drove alone</v>
      </c>
    </row>
    <row r="292" spans="1:4" x14ac:dyDescent="0.25">
      <c r="A292" t="s">
        <v>29</v>
      </c>
      <c r="B292" t="s">
        <v>70</v>
      </c>
      <c r="C292" s="6">
        <v>7.3000000000000001E-3</v>
      </c>
      <c r="D292" t="str">
        <f t="shared" si="4"/>
        <v>South Dakota|Public transportation</v>
      </c>
    </row>
    <row r="293" spans="1:4" x14ac:dyDescent="0.25">
      <c r="A293" t="s">
        <v>29</v>
      </c>
      <c r="B293" t="s">
        <v>69</v>
      </c>
      <c r="C293" s="6">
        <v>1.0800000000000001E-2</v>
      </c>
      <c r="D293" t="str">
        <f t="shared" si="4"/>
        <v>South Dakota|Taxi, motorcycle, or other</v>
      </c>
    </row>
    <row r="294" spans="1:4" x14ac:dyDescent="0.25">
      <c r="A294" t="s">
        <v>29</v>
      </c>
      <c r="B294" t="s">
        <v>68</v>
      </c>
      <c r="C294" s="6">
        <v>3.0599999999999999E-2</v>
      </c>
      <c r="D294" t="str">
        <f t="shared" si="4"/>
        <v>South Dakota|Walked</v>
      </c>
    </row>
    <row r="295" spans="1:4" x14ac:dyDescent="0.25">
      <c r="A295" t="s">
        <v>29</v>
      </c>
      <c r="B295" t="s">
        <v>71</v>
      </c>
      <c r="C295" s="6">
        <v>9.7799999999999998E-2</v>
      </c>
      <c r="D295" t="str">
        <f t="shared" si="4"/>
        <v>South Dakota|Worked at home</v>
      </c>
    </row>
    <row r="296" spans="1:4" x14ac:dyDescent="0.25">
      <c r="A296" t="s">
        <v>13</v>
      </c>
      <c r="B296" t="s">
        <v>67</v>
      </c>
      <c r="C296" s="6">
        <v>1.1000000000000001E-3</v>
      </c>
      <c r="D296" t="str">
        <f t="shared" si="4"/>
        <v>Tennessee|Bicycle</v>
      </c>
    </row>
    <row r="297" spans="1:4" x14ac:dyDescent="0.25">
      <c r="A297" t="s">
        <v>13</v>
      </c>
      <c r="B297" t="s">
        <v>72</v>
      </c>
      <c r="C297" s="6">
        <v>8.2900000000000001E-2</v>
      </c>
      <c r="D297" t="str">
        <f t="shared" si="4"/>
        <v>Tennessee|Carpool</v>
      </c>
    </row>
    <row r="298" spans="1:4" x14ac:dyDescent="0.25">
      <c r="A298" t="s">
        <v>13</v>
      </c>
      <c r="B298" t="s">
        <v>73</v>
      </c>
      <c r="C298" s="6">
        <v>0.75749999999999995</v>
      </c>
      <c r="D298" t="str">
        <f t="shared" si="4"/>
        <v>Tennessee|Drove alone</v>
      </c>
    </row>
    <row r="299" spans="1:4" x14ac:dyDescent="0.25">
      <c r="A299" t="s">
        <v>13</v>
      </c>
      <c r="B299" t="s">
        <v>70</v>
      </c>
      <c r="C299" s="6">
        <v>4.8999999999999998E-3</v>
      </c>
      <c r="D299" t="str">
        <f t="shared" si="4"/>
        <v>Tennessee|Public transportation</v>
      </c>
    </row>
    <row r="300" spans="1:4" x14ac:dyDescent="0.25">
      <c r="A300" t="s">
        <v>13</v>
      </c>
      <c r="B300" t="s">
        <v>69</v>
      </c>
      <c r="C300" s="6">
        <v>1.09E-2</v>
      </c>
      <c r="D300" t="str">
        <f t="shared" si="4"/>
        <v>Tennessee|Taxi, motorcycle, or other</v>
      </c>
    </row>
    <row r="301" spans="1:4" x14ac:dyDescent="0.25">
      <c r="A301" t="s">
        <v>13</v>
      </c>
      <c r="B301" t="s">
        <v>68</v>
      </c>
      <c r="C301" s="6">
        <v>1.4500000000000001E-2</v>
      </c>
      <c r="D301" t="str">
        <f t="shared" si="4"/>
        <v>Tennessee|Walked</v>
      </c>
    </row>
    <row r="302" spans="1:4" x14ac:dyDescent="0.25">
      <c r="A302" t="s">
        <v>13</v>
      </c>
      <c r="B302" t="s">
        <v>71</v>
      </c>
      <c r="C302" s="6">
        <v>0.12820000000000001</v>
      </c>
      <c r="D302" t="str">
        <f t="shared" si="4"/>
        <v>Tennessee|Worked at home</v>
      </c>
    </row>
    <row r="303" spans="1:4" x14ac:dyDescent="0.25">
      <c r="A303" t="s">
        <v>11</v>
      </c>
      <c r="B303" t="s">
        <v>67</v>
      </c>
      <c r="C303" s="6">
        <v>1.8E-3</v>
      </c>
      <c r="D303" t="str">
        <f t="shared" si="4"/>
        <v>Texas|Bicycle</v>
      </c>
    </row>
    <row r="304" spans="1:4" x14ac:dyDescent="0.25">
      <c r="A304" t="s">
        <v>11</v>
      </c>
      <c r="B304" t="s">
        <v>72</v>
      </c>
      <c r="C304" s="6">
        <v>0.10580000000000001</v>
      </c>
      <c r="D304" t="str">
        <f t="shared" si="4"/>
        <v>Texas|Carpool</v>
      </c>
    </row>
    <row r="305" spans="1:4" x14ac:dyDescent="0.25">
      <c r="A305" t="s">
        <v>11</v>
      </c>
      <c r="B305" t="s">
        <v>73</v>
      </c>
      <c r="C305" s="6">
        <v>0.71650000000000003</v>
      </c>
      <c r="D305" t="str">
        <f t="shared" si="4"/>
        <v>Texas|Drove alone</v>
      </c>
    </row>
    <row r="306" spans="1:4" x14ac:dyDescent="0.25">
      <c r="A306" t="s">
        <v>11</v>
      </c>
      <c r="B306" t="s">
        <v>70</v>
      </c>
      <c r="C306" s="6">
        <v>8.8000000000000005E-3</v>
      </c>
      <c r="D306" t="str">
        <f t="shared" si="4"/>
        <v>Texas|Public transportation</v>
      </c>
    </row>
    <row r="307" spans="1:4" x14ac:dyDescent="0.25">
      <c r="A307" t="s">
        <v>11</v>
      </c>
      <c r="B307" t="s">
        <v>69</v>
      </c>
      <c r="C307" s="6">
        <v>1.6199999999999999E-2</v>
      </c>
      <c r="D307" t="str">
        <f t="shared" si="4"/>
        <v>Texas|Taxi, motorcycle, or other</v>
      </c>
    </row>
    <row r="308" spans="1:4" x14ac:dyDescent="0.25">
      <c r="A308" t="s">
        <v>11</v>
      </c>
      <c r="B308" t="s">
        <v>68</v>
      </c>
      <c r="C308" s="6">
        <v>1.43E-2</v>
      </c>
      <c r="D308" t="str">
        <f t="shared" si="4"/>
        <v>Texas|Walked</v>
      </c>
    </row>
    <row r="309" spans="1:4" x14ac:dyDescent="0.25">
      <c r="A309" t="s">
        <v>11</v>
      </c>
      <c r="B309" t="s">
        <v>71</v>
      </c>
      <c r="C309" s="6">
        <v>0.1366</v>
      </c>
      <c r="D309" t="str">
        <f t="shared" si="4"/>
        <v>Texas|Worked at home</v>
      </c>
    </row>
    <row r="310" spans="1:4" x14ac:dyDescent="0.25">
      <c r="A310" t="s">
        <v>42</v>
      </c>
      <c r="B310" t="s">
        <v>67</v>
      </c>
      <c r="C310" s="6">
        <v>4.4999999999999997E-3</v>
      </c>
      <c r="D310" t="str">
        <f t="shared" si="4"/>
        <v>Utah|Bicycle</v>
      </c>
    </row>
    <row r="311" spans="1:4" x14ac:dyDescent="0.25">
      <c r="A311" t="s">
        <v>42</v>
      </c>
      <c r="B311" t="s">
        <v>72</v>
      </c>
      <c r="C311" s="6">
        <v>0.10539999999999999</v>
      </c>
      <c r="D311" t="str">
        <f t="shared" si="4"/>
        <v>Utah|Carpool</v>
      </c>
    </row>
    <row r="312" spans="1:4" x14ac:dyDescent="0.25">
      <c r="A312" t="s">
        <v>42</v>
      </c>
      <c r="B312" t="s">
        <v>73</v>
      </c>
      <c r="C312" s="6">
        <v>0.68010000000000004</v>
      </c>
      <c r="D312" t="str">
        <f t="shared" si="4"/>
        <v>Utah|Drove alone</v>
      </c>
    </row>
    <row r="313" spans="1:4" x14ac:dyDescent="0.25">
      <c r="A313" t="s">
        <v>42</v>
      </c>
      <c r="B313" t="s">
        <v>70</v>
      </c>
      <c r="C313" s="6">
        <v>1.6299999999999999E-2</v>
      </c>
      <c r="D313" t="str">
        <f t="shared" si="4"/>
        <v>Utah|Public transportation</v>
      </c>
    </row>
    <row r="314" spans="1:4" x14ac:dyDescent="0.25">
      <c r="A314" t="s">
        <v>42</v>
      </c>
      <c r="B314" t="s">
        <v>69</v>
      </c>
      <c r="C314" s="6">
        <v>1.15E-2</v>
      </c>
      <c r="D314" t="str">
        <f t="shared" si="4"/>
        <v>Utah|Taxi, motorcycle, or other</v>
      </c>
    </row>
    <row r="315" spans="1:4" x14ac:dyDescent="0.25">
      <c r="A315" t="s">
        <v>42</v>
      </c>
      <c r="B315" t="s">
        <v>68</v>
      </c>
      <c r="C315" s="6">
        <v>1.8200000000000001E-2</v>
      </c>
      <c r="D315" t="str">
        <f t="shared" si="4"/>
        <v>Utah|Walked</v>
      </c>
    </row>
    <row r="316" spans="1:4" x14ac:dyDescent="0.25">
      <c r="A316" t="s">
        <v>42</v>
      </c>
      <c r="B316" t="s">
        <v>71</v>
      </c>
      <c r="C316" s="6">
        <v>0.16389999999999999</v>
      </c>
      <c r="D316" t="str">
        <f t="shared" si="4"/>
        <v>Utah|Worked at home</v>
      </c>
    </row>
    <row r="317" spans="1:4" x14ac:dyDescent="0.25">
      <c r="A317" t="s">
        <v>49</v>
      </c>
      <c r="B317" t="s">
        <v>67</v>
      </c>
      <c r="C317" s="6">
        <v>7.1999999999999998E-3</v>
      </c>
      <c r="D317" t="str">
        <f t="shared" si="4"/>
        <v>Vermont|Bicycle</v>
      </c>
    </row>
    <row r="318" spans="1:4" x14ac:dyDescent="0.25">
      <c r="A318" t="s">
        <v>49</v>
      </c>
      <c r="B318" t="s">
        <v>72</v>
      </c>
      <c r="C318" s="6">
        <v>8.4599999999999995E-2</v>
      </c>
      <c r="D318" t="str">
        <f t="shared" si="4"/>
        <v>Vermont|Carpool</v>
      </c>
    </row>
    <row r="319" spans="1:4" x14ac:dyDescent="0.25">
      <c r="A319" t="s">
        <v>49</v>
      </c>
      <c r="B319" t="s">
        <v>73</v>
      </c>
      <c r="C319" s="6">
        <v>0.68110000000000004</v>
      </c>
      <c r="D319" t="str">
        <f t="shared" si="4"/>
        <v>Vermont|Drove alone</v>
      </c>
    </row>
    <row r="320" spans="1:4" x14ac:dyDescent="0.25">
      <c r="A320" t="s">
        <v>49</v>
      </c>
      <c r="B320" t="s">
        <v>70</v>
      </c>
      <c r="C320" s="6">
        <v>9.4000000000000004E-3</v>
      </c>
      <c r="D320" t="str">
        <f t="shared" si="4"/>
        <v>Vermont|Public transportation</v>
      </c>
    </row>
    <row r="321" spans="1:4" x14ac:dyDescent="0.25">
      <c r="A321" t="s">
        <v>49</v>
      </c>
      <c r="B321" t="s">
        <v>69</v>
      </c>
      <c r="C321" s="6">
        <v>1.01E-2</v>
      </c>
      <c r="D321" t="str">
        <f t="shared" si="4"/>
        <v>Vermont|Taxi, motorcycle, or other</v>
      </c>
    </row>
    <row r="322" spans="1:4" x14ac:dyDescent="0.25">
      <c r="A322" t="s">
        <v>49</v>
      </c>
      <c r="B322" t="s">
        <v>68</v>
      </c>
      <c r="C322" s="6">
        <v>4.5499999999999999E-2</v>
      </c>
      <c r="D322" t="str">
        <f t="shared" ref="D322:D358" si="5">A322 &amp; "|" &amp; B322</f>
        <v>Vermont|Walked</v>
      </c>
    </row>
    <row r="323" spans="1:4" x14ac:dyDescent="0.25">
      <c r="A323" t="s">
        <v>49</v>
      </c>
      <c r="B323" t="s">
        <v>71</v>
      </c>
      <c r="C323" s="6">
        <v>0.16209999999999999</v>
      </c>
      <c r="D323" t="str">
        <f t="shared" si="5"/>
        <v>Vermont|Worked at home</v>
      </c>
    </row>
    <row r="324" spans="1:4" x14ac:dyDescent="0.25">
      <c r="A324" t="s">
        <v>33</v>
      </c>
      <c r="B324" t="s">
        <v>67</v>
      </c>
      <c r="C324" s="6">
        <v>2.8E-3</v>
      </c>
      <c r="D324" t="str">
        <f t="shared" si="5"/>
        <v>Virginia|Bicycle</v>
      </c>
    </row>
    <row r="325" spans="1:4" x14ac:dyDescent="0.25">
      <c r="A325" t="s">
        <v>33</v>
      </c>
      <c r="B325" t="s">
        <v>72</v>
      </c>
      <c r="C325" s="6">
        <v>8.5999999999999993E-2</v>
      </c>
      <c r="D325" t="str">
        <f t="shared" si="5"/>
        <v>Virginia|Carpool</v>
      </c>
    </row>
    <row r="326" spans="1:4" x14ac:dyDescent="0.25">
      <c r="A326" t="s">
        <v>33</v>
      </c>
      <c r="B326" t="s">
        <v>73</v>
      </c>
      <c r="C326" s="6">
        <v>0.68440000000000001</v>
      </c>
      <c r="D326" t="str">
        <f t="shared" si="5"/>
        <v>Virginia|Drove alone</v>
      </c>
    </row>
    <row r="327" spans="1:4" x14ac:dyDescent="0.25">
      <c r="A327" t="s">
        <v>33</v>
      </c>
      <c r="B327" t="s">
        <v>70</v>
      </c>
      <c r="C327" s="6">
        <v>2.5000000000000001E-2</v>
      </c>
      <c r="D327" t="str">
        <f t="shared" si="5"/>
        <v>Virginia|Public transportation</v>
      </c>
    </row>
    <row r="328" spans="1:4" x14ac:dyDescent="0.25">
      <c r="A328" t="s">
        <v>33</v>
      </c>
      <c r="B328" t="s">
        <v>69</v>
      </c>
      <c r="C328" s="6">
        <v>1.5100000000000001E-2</v>
      </c>
      <c r="D328" t="str">
        <f t="shared" si="5"/>
        <v>Virginia|Taxi, motorcycle, or other</v>
      </c>
    </row>
    <row r="329" spans="1:4" x14ac:dyDescent="0.25">
      <c r="A329" t="s">
        <v>33</v>
      </c>
      <c r="B329" t="s">
        <v>68</v>
      </c>
      <c r="C329" s="6">
        <v>1.95E-2</v>
      </c>
      <c r="D329" t="str">
        <f t="shared" si="5"/>
        <v>Virginia|Walked</v>
      </c>
    </row>
    <row r="330" spans="1:4" x14ac:dyDescent="0.25">
      <c r="A330" t="s">
        <v>33</v>
      </c>
      <c r="B330" t="s">
        <v>71</v>
      </c>
      <c r="C330" s="6">
        <v>0.1671</v>
      </c>
      <c r="D330" t="str">
        <f t="shared" si="5"/>
        <v>Virginia|Worked at home</v>
      </c>
    </row>
    <row r="331" spans="1:4" x14ac:dyDescent="0.25">
      <c r="A331" t="s">
        <v>23</v>
      </c>
      <c r="B331" t="s">
        <v>67</v>
      </c>
      <c r="C331" s="6">
        <v>6.7999999999999996E-3</v>
      </c>
      <c r="D331" t="str">
        <f t="shared" si="5"/>
        <v>Washington|Bicycle</v>
      </c>
    </row>
    <row r="332" spans="1:4" x14ac:dyDescent="0.25">
      <c r="A332" t="s">
        <v>23</v>
      </c>
      <c r="B332" t="s">
        <v>72</v>
      </c>
      <c r="C332" s="6">
        <v>8.9099999999999999E-2</v>
      </c>
      <c r="D332" t="str">
        <f t="shared" si="5"/>
        <v>Washington|Carpool</v>
      </c>
    </row>
    <row r="333" spans="1:4" x14ac:dyDescent="0.25">
      <c r="A333" t="s">
        <v>23</v>
      </c>
      <c r="B333" t="s">
        <v>73</v>
      </c>
      <c r="C333" s="6">
        <v>0.64870000000000005</v>
      </c>
      <c r="D333" t="str">
        <f t="shared" si="5"/>
        <v>Washington|Drove alone</v>
      </c>
    </row>
    <row r="334" spans="1:4" x14ac:dyDescent="0.25">
      <c r="A334" t="s">
        <v>23</v>
      </c>
      <c r="B334" t="s">
        <v>70</v>
      </c>
      <c r="C334" s="6">
        <v>3.9899999999999998E-2</v>
      </c>
      <c r="D334" t="str">
        <f t="shared" si="5"/>
        <v>Washington|Public transportation</v>
      </c>
    </row>
    <row r="335" spans="1:4" x14ac:dyDescent="0.25">
      <c r="A335" t="s">
        <v>23</v>
      </c>
      <c r="B335" t="s">
        <v>69</v>
      </c>
      <c r="C335" s="6">
        <v>1.2200000000000001E-2</v>
      </c>
      <c r="D335" t="str">
        <f t="shared" si="5"/>
        <v>Washington|Taxi, motorcycle, or other</v>
      </c>
    </row>
    <row r="336" spans="1:4" x14ac:dyDescent="0.25">
      <c r="A336" t="s">
        <v>23</v>
      </c>
      <c r="B336" t="s">
        <v>68</v>
      </c>
      <c r="C336" s="6">
        <v>3.0700000000000002E-2</v>
      </c>
      <c r="D336" t="str">
        <f t="shared" si="5"/>
        <v>Washington|Walked</v>
      </c>
    </row>
    <row r="337" spans="1:4" x14ac:dyDescent="0.25">
      <c r="A337" t="s">
        <v>23</v>
      </c>
      <c r="B337" t="s">
        <v>71</v>
      </c>
      <c r="C337" s="6">
        <v>0.1726</v>
      </c>
      <c r="D337" t="str">
        <f t="shared" si="5"/>
        <v>Washington|Worked at home</v>
      </c>
    </row>
    <row r="338" spans="1:4" x14ac:dyDescent="0.25">
      <c r="A338" t="s">
        <v>48</v>
      </c>
      <c r="B338" t="s">
        <v>67</v>
      </c>
      <c r="C338" s="6">
        <v>1.2999999999999999E-3</v>
      </c>
      <c r="D338" t="str">
        <f t="shared" si="5"/>
        <v>West Virginia|Bicycle</v>
      </c>
    </row>
    <row r="339" spans="1:4" x14ac:dyDescent="0.25">
      <c r="A339" t="s">
        <v>48</v>
      </c>
      <c r="B339" t="s">
        <v>72</v>
      </c>
      <c r="C339" s="6">
        <v>9.7600000000000006E-2</v>
      </c>
      <c r="D339" t="str">
        <f t="shared" si="5"/>
        <v>West Virginia|Carpool</v>
      </c>
    </row>
    <row r="340" spans="1:4" x14ac:dyDescent="0.25">
      <c r="A340" t="s">
        <v>48</v>
      </c>
      <c r="B340" t="s">
        <v>73</v>
      </c>
      <c r="C340" s="6">
        <v>0.7762</v>
      </c>
      <c r="D340" t="str">
        <f t="shared" si="5"/>
        <v>West Virginia|Drove alone</v>
      </c>
    </row>
    <row r="341" spans="1:4" x14ac:dyDescent="0.25">
      <c r="A341" t="s">
        <v>48</v>
      </c>
      <c r="B341" t="s">
        <v>70</v>
      </c>
      <c r="C341" s="6">
        <v>4.8999999999999998E-3</v>
      </c>
      <c r="D341" t="str">
        <f t="shared" si="5"/>
        <v>West Virginia|Public transportation</v>
      </c>
    </row>
    <row r="342" spans="1:4" x14ac:dyDescent="0.25">
      <c r="A342" t="s">
        <v>48</v>
      </c>
      <c r="B342" t="s">
        <v>69</v>
      </c>
      <c r="C342" s="6">
        <v>1.4E-2</v>
      </c>
      <c r="D342" t="str">
        <f t="shared" si="5"/>
        <v>West Virginia|Taxi, motorcycle, or other</v>
      </c>
    </row>
    <row r="343" spans="1:4" x14ac:dyDescent="0.25">
      <c r="A343" t="s">
        <v>48</v>
      </c>
      <c r="B343" t="s">
        <v>68</v>
      </c>
      <c r="C343" s="6">
        <v>2.3E-2</v>
      </c>
      <c r="D343" t="str">
        <f t="shared" si="5"/>
        <v>West Virginia|Walked</v>
      </c>
    </row>
    <row r="344" spans="1:4" x14ac:dyDescent="0.25">
      <c r="A344" t="s">
        <v>48</v>
      </c>
      <c r="B344" t="s">
        <v>71</v>
      </c>
      <c r="C344" s="6">
        <v>8.3000000000000004E-2</v>
      </c>
      <c r="D344" t="str">
        <f t="shared" si="5"/>
        <v>West Virginia|Worked at home</v>
      </c>
    </row>
    <row r="345" spans="1:4" x14ac:dyDescent="0.25">
      <c r="A345" t="s">
        <v>45</v>
      </c>
      <c r="B345" t="s">
        <v>67</v>
      </c>
      <c r="C345" s="6">
        <v>4.8999999999999998E-3</v>
      </c>
      <c r="D345" t="str">
        <f t="shared" si="5"/>
        <v>Wisconsin|Bicycle</v>
      </c>
    </row>
    <row r="346" spans="1:4" x14ac:dyDescent="0.25">
      <c r="A346" t="s">
        <v>45</v>
      </c>
      <c r="B346" t="s">
        <v>72</v>
      </c>
      <c r="C346" s="6">
        <v>7.6300000000000007E-2</v>
      </c>
      <c r="D346" t="str">
        <f t="shared" si="5"/>
        <v>Wisconsin|Carpool</v>
      </c>
    </row>
    <row r="347" spans="1:4" x14ac:dyDescent="0.25">
      <c r="A347" t="s">
        <v>45</v>
      </c>
      <c r="B347" t="s">
        <v>73</v>
      </c>
      <c r="C347" s="6">
        <v>0.74860000000000004</v>
      </c>
      <c r="D347" t="str">
        <f t="shared" si="5"/>
        <v>Wisconsin|Drove alone</v>
      </c>
    </row>
    <row r="348" spans="1:4" x14ac:dyDescent="0.25">
      <c r="A348" t="s">
        <v>45</v>
      </c>
      <c r="B348" t="s">
        <v>70</v>
      </c>
      <c r="C348" s="6">
        <v>1.11E-2</v>
      </c>
      <c r="D348" t="str">
        <f t="shared" si="5"/>
        <v>Wisconsin|Public transportation</v>
      </c>
    </row>
    <row r="349" spans="1:4" x14ac:dyDescent="0.25">
      <c r="A349" t="s">
        <v>45</v>
      </c>
      <c r="B349" t="s">
        <v>69</v>
      </c>
      <c r="C349" s="6">
        <v>1.0800000000000001E-2</v>
      </c>
      <c r="D349" t="str">
        <f t="shared" si="5"/>
        <v>Wisconsin|Taxi, motorcycle, or other</v>
      </c>
    </row>
    <row r="350" spans="1:4" x14ac:dyDescent="0.25">
      <c r="A350" t="s">
        <v>45</v>
      </c>
      <c r="B350" t="s">
        <v>68</v>
      </c>
      <c r="C350" s="6">
        <v>2.6100000000000002E-2</v>
      </c>
      <c r="D350" t="str">
        <f t="shared" si="5"/>
        <v>Wisconsin|Walked</v>
      </c>
    </row>
    <row r="351" spans="1:4" x14ac:dyDescent="0.25">
      <c r="A351" t="s">
        <v>45</v>
      </c>
      <c r="B351" t="s">
        <v>71</v>
      </c>
      <c r="C351" s="6">
        <v>0.1222</v>
      </c>
      <c r="D351" t="str">
        <f t="shared" si="5"/>
        <v>Wisconsin|Worked at home</v>
      </c>
    </row>
    <row r="352" spans="1:4" x14ac:dyDescent="0.25">
      <c r="A352" t="s">
        <v>24</v>
      </c>
      <c r="B352" t="s">
        <v>67</v>
      </c>
      <c r="C352" s="6">
        <v>9.4000000000000004E-3</v>
      </c>
      <c r="D352" t="str">
        <f t="shared" si="5"/>
        <v>Wyoming|Bicycle</v>
      </c>
    </row>
    <row r="353" spans="1:4" x14ac:dyDescent="0.25">
      <c r="A353" t="s">
        <v>24</v>
      </c>
      <c r="B353" t="s">
        <v>72</v>
      </c>
      <c r="C353" s="6">
        <v>0.1048</v>
      </c>
      <c r="D353" t="str">
        <f t="shared" si="5"/>
        <v>Wyoming|Carpool</v>
      </c>
    </row>
    <row r="354" spans="1:4" x14ac:dyDescent="0.25">
      <c r="A354" t="s">
        <v>24</v>
      </c>
      <c r="B354" t="s">
        <v>73</v>
      </c>
      <c r="C354" s="6">
        <v>0.72750000000000004</v>
      </c>
      <c r="D354" t="str">
        <f t="shared" si="5"/>
        <v>Wyoming|Drove alone</v>
      </c>
    </row>
    <row r="355" spans="1:4" x14ac:dyDescent="0.25">
      <c r="A355" t="s">
        <v>24</v>
      </c>
      <c r="B355" t="s">
        <v>70</v>
      </c>
      <c r="C355" s="6">
        <v>1.17E-2</v>
      </c>
      <c r="D355" t="str">
        <f t="shared" si="5"/>
        <v>Wyoming|Public transportation</v>
      </c>
    </row>
    <row r="356" spans="1:4" x14ac:dyDescent="0.25">
      <c r="A356" t="s">
        <v>24</v>
      </c>
      <c r="B356" t="s">
        <v>69</v>
      </c>
      <c r="C356" s="6">
        <v>1.0500000000000001E-2</v>
      </c>
      <c r="D356" t="str">
        <f t="shared" si="5"/>
        <v>Wyoming|Taxi, motorcycle, or other</v>
      </c>
    </row>
    <row r="357" spans="1:4" x14ac:dyDescent="0.25">
      <c r="A357" t="s">
        <v>24</v>
      </c>
      <c r="B357" t="s">
        <v>68</v>
      </c>
      <c r="C357" s="6">
        <v>3.3799999999999997E-2</v>
      </c>
      <c r="D357" t="str">
        <f t="shared" si="5"/>
        <v>Wyoming|Walked</v>
      </c>
    </row>
    <row r="358" spans="1:4" x14ac:dyDescent="0.25">
      <c r="A358" t="s">
        <v>24</v>
      </c>
      <c r="B358" t="s">
        <v>71</v>
      </c>
      <c r="C358" s="6">
        <v>0.1024</v>
      </c>
      <c r="D358" t="str">
        <f t="shared" si="5"/>
        <v>Wyoming|Worked at home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Master_Data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2025-12-09T07:41:55Z</dcterms:created>
  <dcterms:modified xsi:type="dcterms:W3CDTF">2025-12-09T11:31:53Z</dcterms:modified>
</cp:coreProperties>
</file>